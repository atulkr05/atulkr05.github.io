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worksheets/sheet14.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24.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2.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9.xml" ContentType="application/vnd.openxmlformats-officedocument.drawing+xml"/>
  <Override PartName="/xl/drawings/drawing13.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5.xml" ContentType="application/vnd.openxmlformats-officedocument.drawing+xml"/>
  <Override PartName="/xl/drawings/drawing22.xml" ContentType="application/vnd.openxmlformats-officedocument.drawing+xml"/>
  <Override PartName="/xl/drawings/drawing4.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drawings/drawing20.xml" ContentType="application/vnd.openxmlformats-officedocument.drawing+xml"/>
  <Override PartName="/xl/drawings/drawing18.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15.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2"/>
    <sheet name="All papers" sheetId="2" state="visible" r:id="rId3"/>
    <sheet name="Summary" sheetId="3" state="visible" r:id="rId4"/>
    <sheet name="Before 2018" sheetId="4" state="visible" r:id="rId5"/>
    <sheet name="2018" sheetId="5" state="visible" r:id="rId6"/>
    <sheet name="2019" sheetId="6" state="visible" r:id="rId7"/>
    <sheet name="2020" sheetId="7" state="visible" r:id="rId8"/>
    <sheet name="2021" sheetId="8" state="visible" r:id="rId9"/>
    <sheet name="2022" sheetId="9" state="visible" r:id="rId10"/>
    <sheet name="2023" sheetId="10" state="visible" r:id="rId11"/>
    <sheet name="2024" sheetId="11" state="visible" r:id="rId12"/>
    <sheet name="2025" sheetId="12" state="visible" r:id="rId13"/>
    <sheet name="2026" sheetId="13" state="visible" r:id="rId14"/>
    <sheet name="Identity protection" sheetId="14" state="visible" r:id="rId15"/>
    <sheet name="Soft-biometric privacy" sheetId="15" state="visible" r:id="rId16"/>
    <sheet name="De-identification" sheetId="16" state="visible" r:id="rId17"/>
    <sheet name="Adversarial privacy" sheetId="17" state="visible" r:id="rId18"/>
    <sheet name="Unlearnable images" sheetId="18" state="visible" r:id="rId19"/>
    <sheet name="Model unlearning" sheetId="19" state="visible" r:id="rId20"/>
    <sheet name="Differential privacy" sheetId="20" state="visible" r:id="rId21"/>
    <sheet name="Blur &amp; pixelation" sheetId="21" state="visible" r:id="rId22"/>
    <sheet name="Attacks &amp; evaluations" sheetId="22" state="visible" r:id="rId23"/>
    <sheet name="Training data &amp; synthetic" sheetId="23" state="visible" r:id="rId24"/>
    <sheet name="Surveys &amp; society" sheetId="24" state="visible" r:id="rId25"/>
    <sheet name="Attacks vs defenses" sheetId="25" state="visible" r:id="rId26"/>
    <sheet name="Datasets index" sheetId="26" state="visible" r:id="rId27"/>
    <sheet name="Models index" sheetId="27" state="visible" r:id="rId28"/>
  </sheets>
  <definedNames>
    <definedName function="false" hidden="true" localSheetId="4" name="_xlnm._FilterDatabase" vbProcedure="false">'2018'!$A$4:$U$17</definedName>
    <definedName function="false" hidden="true" localSheetId="5" name="_xlnm._FilterDatabase" vbProcedure="false">'2019'!$A$4:$U$16</definedName>
    <definedName function="false" hidden="true" localSheetId="6" name="_xlnm._FilterDatabase" vbProcedure="false">'2020'!$A$4:$U$23</definedName>
    <definedName function="false" hidden="true" localSheetId="7" name="_xlnm._FilterDatabase" vbProcedure="false">'2021'!$A$4:$U$31</definedName>
    <definedName function="false" hidden="true" localSheetId="8" name="_xlnm._FilterDatabase" vbProcedure="false">'2022'!$A$4:$U$28</definedName>
    <definedName function="false" hidden="true" localSheetId="9" name="_xlnm._FilterDatabase" vbProcedure="false">'2023'!$A$4:$U$45</definedName>
    <definedName function="false" hidden="true" localSheetId="10" name="_xlnm._FilterDatabase" vbProcedure="false">'2024'!$A$4:$U$29</definedName>
    <definedName function="false" hidden="true" localSheetId="11" name="_xlnm._FilterDatabase" vbProcedure="false">'2025'!$A$4:$U$21</definedName>
    <definedName function="false" hidden="true" localSheetId="12" name="_xlnm._FilterDatabase" vbProcedure="false">'2026'!$A$4:$U$12</definedName>
    <definedName function="false" hidden="true" localSheetId="16" name="_xlnm._FilterDatabase" vbProcedure="false">'Adversarial privacy'!$A$4:$U$34</definedName>
    <definedName function="false" hidden="true" localSheetId="1" name="_xlnm._FilterDatabase" vbProcedure="false">'All papers'!$A$4:$U$229</definedName>
    <definedName function="false" hidden="true" localSheetId="21" name="_xlnm._FilterDatabase" vbProcedure="false">'Attacks &amp; evaluations'!$A$4:$U$29</definedName>
    <definedName function="false" hidden="true" localSheetId="3" name="_xlnm._FilterDatabase" vbProcedure="false">'Before 2018'!$A$4:$U$43</definedName>
    <definedName function="false" hidden="true" localSheetId="20" name="_xlnm._FilterDatabase" vbProcedure="false">'Blur &amp; pixelation'!$A$4:$U$20</definedName>
    <definedName function="false" hidden="true" localSheetId="15" name="_xlnm._FilterDatabase" vbProcedure="false">'De-identification'!$A$4:$U$32</definedName>
    <definedName function="false" hidden="true" localSheetId="19" name="_xlnm._FilterDatabase" vbProcedure="false">'Differential privacy'!$A$4:$U$18</definedName>
    <definedName function="false" hidden="true" localSheetId="13" name="_xlnm._FilterDatabase" vbProcedure="false">'Identity protection'!$A$4:$U$29</definedName>
    <definedName function="false" hidden="true" localSheetId="18" name="_xlnm._FilterDatabase" vbProcedure="false">'Model unlearning'!$A$4:$U$22</definedName>
    <definedName function="false" hidden="true" localSheetId="14" name="_xlnm._FilterDatabase" vbProcedure="false">'Soft-biometric privacy'!$A$4:$U$16</definedName>
    <definedName function="false" hidden="true" localSheetId="23" name="_xlnm._FilterDatabase" vbProcedure="false">'Surveys &amp; society'!$A$4:$U$27</definedName>
    <definedName function="false" hidden="true" localSheetId="22" name="_xlnm._FilterDatabase" vbProcedure="false">'Training data &amp; synthetic'!$A$4:$U$19</definedName>
    <definedName function="false" hidden="true" localSheetId="17" name="_xlnm._FilterDatabase" vbProcedure="false">'Unlearnable images'!$A$4:$U$23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<sst xmlns="http://schemas.openxmlformats.org/spreadsheetml/2006/main" count="13131" uniqueCount="2807">
  <si>
    <t xml:space="preserve">Faceprint Atlas: facial privacy protection literature workbook</t>
  </si>
  <si>
    <t xml:space="preserve">225 entries from 1999 to 2026, densest coverage from 2018. Last updated September 2026. Interactive version: https://atulkr05.github.io/atlas.html</t>
  </si>
  <si>
    <t xml:space="preserve">How to use this workbook</t>
  </si>
  <si>
    <t xml:space="preserve">"All papers" holds every entry with the full record. Year tabs (Before 2018, then 2018 onward) and family tabs hold the same columns filtered. "Summary" counts entries by year and family with live COUNTIFS formulas over "All papers". "Attacks vs defenses" pairs defense papers with the papers that tested them. "Datasets index" and "Models index" count how often common datasets and backbones appear.</t>
  </si>
  <si>
    <t xml:space="preserve">Families</t>
  </si>
  <si>
    <t xml:space="preserve">Blur, pixelation &amp; obfuscation</t>
  </si>
  <si>
    <t xml:space="preserve">Blur, pixelate, scramble, warp, average k faces, or capture less in the first place. The oldest family, and the one most often shown not to stop machines. Examples: k-Same, Street View blur, privacy optics.</t>
  </si>
  <si>
    <t xml:space="preserve">Differential privacy</t>
  </si>
  <si>
    <t xml:space="preserve">Calibrated noise with a formal privacy budget, applied to pixels, features, templates, gradients or generative models. Examples: DP-SGD, IdentityDP, DP diffusion.</t>
  </si>
  <si>
    <t xml:space="preserve">De-identification (generative)</t>
  </si>
  <si>
    <t xml:space="preserve">Synthesise a new face that keeps pose, expression and attributes but not identity. GANs from 2017, diffusion from 2023, often reversible with a key. Examples: DeepPrivacy, CIAGAN, RiDDLE, G2Face.</t>
  </si>
  <si>
    <t xml:space="preserve">Adversarial privacy</t>
  </si>
  <si>
    <t xml:space="preserve">Perturb photos, makeup or accessories so recognisers fail while humans see the same face. Cloaks poison training; masks and makeup evade matching. Examples: Fawkes, LowKey, CLIP2Protect, DiffAM.</t>
  </si>
  <si>
    <t xml:space="preserve">Unlearnable images &amp; anti-customisation</t>
  </si>
  <si>
    <t xml:space="preserve">Make images useless as training data: unlearnable examples against classifiers, and anti-DreamBooth protections against personalised diffusion models. Examples: Unlearnable Examples, Anti-DreamBooth, PhotoGuard.</t>
  </si>
  <si>
    <t xml:space="preserve">Identity protection: templates &amp; encrypted matching</t>
  </si>
  <si>
    <t xml:space="preserve">Protect the faceprint itself: cancelable transforms, fuzzy vaults, homomorphic encryption, and recognition on representations that hide the image. Examples: PolyProtect, HERS, IronMask, PartialFace.</t>
  </si>
  <si>
    <t xml:space="preserve">Soft-biometric privacy</t>
  </si>
  <si>
    <t xml:space="preserve">Keep a face usable for matching while suppressing what else it reveals: gender, age, ethnicity, health. Examples: PrivacyNet, SensitiveNets, PASS.</t>
  </si>
  <si>
    <t xml:space="preserve">Training-data privacy &amp; synthetic data</t>
  </si>
  <si>
    <t xml:space="preserve">Train recognisers without hoarding faces: federated learning, synthetic identities, consented datasets, instance encoding. Examples: FedFace, DCFace, DigiFace-1M.</t>
  </si>
  <si>
    <t xml:space="preserve">Machine unlearning &amp; auditing</t>
  </si>
  <si>
    <t xml:space="preserve">Remove a person from a trained model, erase an identity from a generator, or prove that a face was used in training. Examples: SalUn, GUIDE, Face-Auditor.</t>
  </si>
  <si>
    <t xml:space="preserve">Attacks &amp; evaluations</t>
  </si>
  <si>
    <t xml:space="preserve">Papers that invert templates, defeat obfuscation, break cloaks and unlearnable examples, or measure whether anonymisation really removes identity. Examples: NbNet, Data Poisoning Won't Save You, GrIDPure.</t>
  </si>
  <si>
    <t xml:space="preserve">Surveys, audits &amp; society</t>
  </si>
  <si>
    <t xml:space="preserve">Surveys that organise the field, audits that exposed bias, investigations and standards that changed what is deployed. Examples: Meden et al. 2021, Gender Shades, Exposing.ai.</t>
  </si>
  <si>
    <t xml:space="preserve">Caveats</t>
  </si>
  <si>
    <t xml:space="preserve">Curated catalogue, not a systematic review. Venues and years were checked against arXiv metadata and proceedings; preprints may since have been published. Findings are summaries, so read the paper before citing a number. Code links point only to repositories that could be confirmed.</t>
  </si>
  <si>
    <t xml:space="preserve">All papers</t>
  </si>
  <si>
    <t xml:space="preserve">Every entry, newest first. Use the filter arrows on the header row.</t>
  </si>
  <si>
    <t xml:space="preserve">#</t>
  </si>
  <si>
    <t xml:space="preserve">ID</t>
  </si>
  <si>
    <t xml:space="preserve">Paper title</t>
  </si>
  <si>
    <t xml:space="preserve">Authors</t>
  </si>
  <si>
    <t xml:space="preserve">Year</t>
  </si>
  <si>
    <t xml:space="preserve">Venue</t>
  </si>
  <si>
    <t xml:space="preserve">Venue type</t>
  </si>
  <si>
    <t xml:space="preserve">Family</t>
  </si>
  <si>
    <t xml:space="preserve">Chart group</t>
  </si>
  <si>
    <t xml:space="preserve">Datasets</t>
  </si>
  <si>
    <t xml:space="preserve">Models / backbones</t>
  </si>
  <si>
    <t xml:space="preserve">Approach</t>
  </si>
  <si>
    <t xml:space="preserve">Key findings</t>
  </si>
  <si>
    <t xml:space="preserve">Threat model / protects against</t>
  </si>
  <si>
    <t xml:space="preserve">Utility preserved</t>
  </si>
  <si>
    <t xml:space="preserve">Limitations &amp; known attacks</t>
  </si>
  <si>
    <t xml:space="preserve">Tags</t>
  </si>
  <si>
    <t xml:space="preserve">Code available</t>
  </si>
  <si>
    <t xml:space="preserve">GitHub / code link</t>
  </si>
  <si>
    <t xml:space="preserve">Paper link</t>
  </si>
  <si>
    <t xml:space="preserve">Google Scholar</t>
  </si>
  <si>
    <t xml:space="preserve">hahn2026</t>
  </si>
  <si>
    <t xml:space="preserve">A Deeper Dive into the Irreversibility of PolyProtect: Making Protected Face Templates Harder to Invert</t>
  </si>
  <si>
    <t xml:space="preserve">Vedrana Krivokuća Hahn, Jérémy Maceiras, Sébastien Marcel</t>
  </si>
  <si>
    <t xml:space="preserve">Under review (submitted to IEEE TIFS)</t>
  </si>
  <si>
    <t xml:space="preserve">Preprint</t>
  </si>
  <si>
    <t xml:space="preserve">MOBIO, LFW</t>
  </si>
  <si>
    <t xml:space="preserve">PolyProtect templates</t>
  </si>
  <si>
    <t xml:space="preserve">Analyses inversion of PolyProtect templates and proposes a key-selection algorithm that raises inversion difficulty consistently across parameters.</t>
  </si>
  <si>
    <t xml:space="preserve">Showed prior parameter choices left some templates invertible and fixed it with principled key selection.</t>
  </si>
  <si>
    <t xml:space="preserve">Attacker with protected templates.</t>
  </si>
  <si>
    <t xml:space="preserve">Verification accuracy retained.</t>
  </si>
  <si>
    <t xml:space="preserve">Under review.</t>
  </si>
  <si>
    <t xml:space="preserve">PolyProtect, inversion, key selection</t>
  </si>
  <si>
    <t xml:space="preserve">No</t>
  </si>
  <si>
    <t xml:space="preserve">https://arxiv.org/abs/2605.03857</t>
  </si>
  <si>
    <t xml:space="preserve">Search</t>
  </si>
  <si>
    <t xml:space="preserve">zhang2026</t>
  </si>
  <si>
    <t xml:space="preserve">Adversarial Attacks for Good: A Survey of Proactive Protection across the Visual Content Lifecycle</t>
  </si>
  <si>
    <t xml:space="preserve">Jiaming Zhang, Boyang Chen, Zherui Li, Fuyao Zhang, Xinyu Yan, Hong Xi Tae, Wenwen He, Xuan Wang, Siqi Guo, Junhao Dong, Kun Wang, Hanxun Huang, Yige Li, Xingjun Ma, Yang Cao, Lingjuan Lyu, Wei Yang Bryan Lim</t>
  </si>
  <si>
    <t xml:space="preserve">arXiv preprint</t>
  </si>
  <si>
    <t xml:space="preserve">Surveys &amp; society</t>
  </si>
  <si>
    <t xml:space="preserve">Survey</t>
  </si>
  <si>
    <t xml:space="preserve">Surveys the use of adversarial perturbation as protection across creation, sharing and training of visual content, including face cloaks and anti-deepfake immunisation.</t>
  </si>
  <si>
    <t xml:space="preserve">Frames cloaking, watermarking and immunisation as one family with shared robustness problems.</t>
  </si>
  <si>
    <t xml:space="preserve">Not applicable.</t>
  </si>
  <si>
    <t xml:space="preserve">Preprint.</t>
  </si>
  <si>
    <t xml:space="preserve">survey, proactive protection, adversarial for good</t>
  </si>
  <si>
    <t xml:space="preserve">https://arxiv.org/abs/2608.04314</t>
  </si>
  <si>
    <t xml:space="preserve">wang2026diffmi</t>
  </si>
  <si>
    <t xml:space="preserve">DiffMI: Breaking Face Recognition Privacy via Diffusion-Driven Training-Free Model Inversion</t>
  </si>
  <si>
    <t xml:space="preserve">Hanrui Wang, Shuo Wang, Chun-Shien Lu, Isao Echizen</t>
  </si>
  <si>
    <t xml:space="preserve">IEEE TIFS</t>
  </si>
  <si>
    <t xml:space="preserve">Journal</t>
  </si>
  <si>
    <t xml:space="preserve">LFW, CelebA-HQ</t>
  </si>
  <si>
    <t xml:space="preserve">Diffusion prior; privacy-resistant recognisers</t>
  </si>
  <si>
    <t xml:space="preserve">Training-free diffusion-guided inversion that reconstructs faces from embeddings without a model-specific inverter.</t>
  </si>
  <si>
    <t xml:space="preserve">Attack success of 84.42% to 92.87% against privacy-resistant recognisers, including some designed to resist inversion.</t>
  </si>
  <si>
    <t xml:space="preserve">Attacker with embeddings from protected systems.</t>
  </si>
  <si>
    <t xml:space="preserve">Compute-heavy sampling.</t>
  </si>
  <si>
    <t xml:space="preserve">model inversion, diffusion, training-free</t>
  </si>
  <si>
    <t xml:space="preserve">https://arxiv.org/abs/2504.18015</t>
  </si>
  <si>
    <t xml:space="preserve">wei2026toolbox</t>
  </si>
  <si>
    <t xml:space="preserve">FDeID-Toolbox: Face De-Identification Toolbox</t>
  </si>
  <si>
    <t xml:space="preserve">Hui Wei, Hao Yu, Guoying Zhao</t>
  </si>
  <si>
    <t xml:space="preserve">Technical report (arXiv)</t>
  </si>
  <si>
    <t xml:space="preserve">CelebA-HQ, FFHQ, LFW</t>
  </si>
  <si>
    <t xml:space="preserve">Many de-identification methods (toolbox)</t>
  </si>
  <si>
    <t xml:space="preserve">Open toolbox implementing many de-identification methods with shared evaluation for privacy, utility and quality.</t>
  </si>
  <si>
    <t xml:space="preserve">A step toward the unified evaluation every survey since 2016 has asked for.</t>
  </si>
  <si>
    <t xml:space="preserve">Coverage still growing.</t>
  </si>
  <si>
    <t xml:space="preserve">toolbox, benchmark, open source</t>
  </si>
  <si>
    <t xml:space="preserve">Yes</t>
  </si>
  <si>
    <t xml:space="preserve">https://arxiv.org/abs/2603.13121</t>
  </si>
  <si>
    <t xml:space="preserve">wei2026survey</t>
  </si>
  <si>
    <t xml:space="preserve">Face De-Identification: A Domain-Centric Survey from Capture to Processing</t>
  </si>
  <si>
    <t xml:space="preserve">Taxonomy by where the privacy transformation happens: before capture (physical), at the sensor, or after capture (digital).</t>
  </si>
  <si>
    <t xml:space="preserve">First survey to treat camera-side and optics-based protection alongside image processing.</t>
  </si>
  <si>
    <t xml:space="preserve">survey, physical/sensor/digital domains</t>
  </si>
  <si>
    <t xml:space="preserve">https://arxiv.org/abs/2607.25926</t>
  </si>
  <si>
    <t xml:space="preserve">guo2026</t>
  </si>
  <si>
    <t xml:space="preserve">FaceLinkGen: A Re-evaluation of Identity Leakage in Privacy-Preserving Face Recognition and Face Anonymization Systems Using Simple Distillation</t>
  </si>
  <si>
    <t xml:space="preserve">Wenqi Guo, Mohamed Shehata, Shan Du</t>
  </si>
  <si>
    <t xml:space="preserve">LFW, CelebA</t>
  </si>
  <si>
    <t xml:space="preserve">Distilled linking model</t>
  </si>
  <si>
    <t xml:space="preserve">Distils a linking model that connects protected representations or anonymised faces back to identities.</t>
  </si>
  <si>
    <t xml:space="preserve">Recovered identities at rates above 74% across tested privacy-preserving recognition and de-identification systems.</t>
  </si>
  <si>
    <t xml:space="preserve">Attacker with access to protected outputs and public face data.</t>
  </si>
  <si>
    <t xml:space="preserve">Preprint; systems tested are academic.</t>
  </si>
  <si>
    <t xml:space="preserve">distillation, leakage, PPFR, anonymisation</t>
  </si>
  <si>
    <t xml:space="preserve">https://arxiv.org/abs/2602.02914</t>
  </si>
  <si>
    <t xml:space="preserve">wang2026flux</t>
  </si>
  <si>
    <t xml:space="preserve">Flux-Guard: Facial Identity Protection using Diffusion Models</t>
  </si>
  <si>
    <t xml:space="preserve">Jie Wang, Tao Wang, Ru Zhang, Jianyi Liu</t>
  </si>
  <si>
    <t xml:space="preserve">Adversarial &amp; unlearnable</t>
  </si>
  <si>
    <t xml:space="preserve">CelebA-HQ</t>
  </si>
  <si>
    <t xml:space="preserve">FLUX diffusion backbone</t>
  </si>
  <si>
    <t xml:space="preserve">Uses a large diffusion backbone to generate identity-protected faces guided against recognisers.</t>
  </si>
  <si>
    <t xml:space="preserve">Reported strong black-box protection with high image quality.</t>
  </si>
  <si>
    <t xml:space="preserve">Black-box recognisers.</t>
  </si>
  <si>
    <t xml:space="preserve">Natural appearance.</t>
  </si>
  <si>
    <t xml:space="preserve">Preprint; untested against adaptive attackers.</t>
  </si>
  <si>
    <t xml:space="preserve">diffusion, identity protection</t>
  </si>
  <si>
    <t xml:space="preserve">https://arxiv.org/abs/2606.17606</t>
  </si>
  <si>
    <t xml:space="preserve">wen2026</t>
  </si>
  <si>
    <t xml:space="preserve">Image Privacy Protection: A Survey</t>
  </si>
  <si>
    <t xml:space="preserve">Wenying Wen, Ziye Yuan, Yushu Zhang, Tao Wang, Xiangli Xiao, Ruoyu Zhao, Yuming Fang</t>
  </si>
  <si>
    <t xml:space="preserve">ACM Computing Surveys</t>
  </si>
  <si>
    <t xml:space="preserve">Survey of image privacy protection spanning encryption, perturbation, anonymisation and access control.</t>
  </si>
  <si>
    <t xml:space="preserve">Places face-specific methods in the wider image privacy landscape.</t>
  </si>
  <si>
    <t xml:space="preserve">Breadth over depth.</t>
  </si>
  <si>
    <t xml:space="preserve">survey, image privacy</t>
  </si>
  <si>
    <t xml:space="preserve">https://arxiv.org/abs/2412.15228</t>
  </si>
  <si>
    <t xml:space="preserve">honig2025</t>
  </si>
  <si>
    <t xml:space="preserve">Adversarial Perturbations Cannot Reliably Protect Artists From Generative AI</t>
  </si>
  <si>
    <t xml:space="preserve">Robert Hönig, Javier Rando, Nicholas Carlini, Florian Tramèr</t>
  </si>
  <si>
    <t xml:space="preserve">ICLR (arXiv 2024)</t>
  </si>
  <si>
    <t xml:space="preserve">ML</t>
  </si>
  <si>
    <t xml:space="preserve">Artists' styles (WikiArt and contemporary), face sets</t>
  </si>
  <si>
    <t xml:space="preserve">Stable Diffusion fine-tuning; Glaze, Mist, Anti-DreamBooth</t>
  </si>
  <si>
    <t xml:space="preserve">Shows that low-effort, off-the-shelf techniques (noisy upscaling, Gaussian noise, IMPRESS-style purification) let a forger fine-tune on protected art or photos anyway; includes a user study.</t>
  </si>
  <si>
    <t xml:space="preserve">Every tested protection, including Glaze, Mist and Anti-DreamBooth, was bypassed; the authors argue perturbation-based protection gives a false sense of security, echoing the Fawkes result.</t>
  </si>
  <si>
    <t xml:space="preserve">Images protected against fine-tuning.</t>
  </si>
  <si>
    <t xml:space="preserve">Focused on style mimicry; identity-customisation findings transfer.</t>
  </si>
  <si>
    <t xml:space="preserve">Glaze, Mist, Anti-DreamBooth, robust mimicry</t>
  </si>
  <si>
    <t xml:space="preserve">https://github.com/ethz-spylab/robust-style-mimicry</t>
  </si>
  <si>
    <t xml:space="preserve">https://arxiv.org/abs/2406.12027</t>
  </si>
  <si>
    <t xml:space="preserve">mustu2025</t>
  </si>
  <si>
    <t xml:space="preserve">Assessing the Use of Face Swapping Methods as Face Anonymizers in Videos</t>
  </si>
  <si>
    <t xml:space="preserve">Mustafa İzzet Muştu, Hazım Kemal Ekenel</t>
  </si>
  <si>
    <t xml:space="preserve">IEEE DSP</t>
  </si>
  <si>
    <t xml:space="preserve">Other</t>
  </si>
  <si>
    <t xml:space="preserve">Video face benchmarks</t>
  </si>
  <si>
    <t xml:space="preserve">SimSwap, FaceShifter and other swappers</t>
  </si>
  <si>
    <t xml:space="preserve">Evaluates general-purpose face swappers as anonymisers on video for identity removal, temporal consistency and quality.</t>
  </si>
  <si>
    <t xml:space="preserve">Face swappers anonymised effectively but with identity leakage and consistency issues that vary by method.</t>
  </si>
  <si>
    <t xml:space="preserve">Not a threat paper: measures anonymisation quality.</t>
  </si>
  <si>
    <t xml:space="preserve">Video quality and consistency.</t>
  </si>
  <si>
    <t xml:space="preserve">Limited set of swappers.</t>
  </si>
  <si>
    <t xml:space="preserve">evaluation, face swapping, video</t>
  </si>
  <si>
    <t xml:space="preserve">https://arxiv.org/abs/2505.20985</t>
  </si>
  <si>
    <t xml:space="preserve">kwon2025</t>
  </si>
  <si>
    <t xml:space="preserve">Controllable Adversarial Makeup for Privacy via Text-Guided Diffusion</t>
  </si>
  <si>
    <t xml:space="preserve">Youngjin Kwon, Xiao Zhang</t>
  </si>
  <si>
    <t xml:space="preserve">Stable Diffusion, CLIP</t>
  </si>
  <si>
    <t xml:space="preserve">MASQUE generates localised adversarial makeup from text prompts with a diffusion model, targeting dodging rather than impersonation.</t>
  </si>
  <si>
    <t xml:space="preserve">Robust dodging with higher perceptual fidelity and adaptability across prompts.</t>
  </si>
  <si>
    <t xml:space="preserve">Recognisers matching shared photos.</t>
  </si>
  <si>
    <t xml:space="preserve">User-chosen makeup style.</t>
  </si>
  <si>
    <t xml:space="preserve">MASQUE, diffusion, text-guided</t>
  </si>
  <si>
    <t xml:space="preserve">https://arxiv.org/abs/2503.10549</t>
  </si>
  <si>
    <t xml:space="preserve">liu2023diffprotect</t>
  </si>
  <si>
    <t xml:space="preserve">DiffProtect: Generate Adversarial Examples with Diffusion Models for Facial Privacy Protection</t>
  </si>
  <si>
    <t xml:space="preserve">Jiang Liu, Chun Pong Lau, Zhongliang Guo, Yuxiang Guo, Zhaoyang Wang, Rama Chellappa</t>
  </si>
  <si>
    <t xml:space="preserve">Pattern Recognition (arXiv 2023)</t>
  </si>
  <si>
    <t xml:space="preserve">CelebA-HQ, LADN</t>
  </si>
  <si>
    <t xml:space="preserve">Diffusion autoencoder; IR152, IRSE50, FaceNet, MobileFace</t>
  </si>
  <si>
    <t xml:space="preserve">Uses a diffusion autoencoder to produce semantically meaningful, natural perturbations rather than pixel noise.</t>
  </si>
  <si>
    <t xml:space="preserve">Higher attack success and naturalness than pixel-space methods on face verification.</t>
  </si>
  <si>
    <t xml:space="preserve">Natural-looking edits.</t>
  </si>
  <si>
    <t xml:space="preserve">Sampling cost; static protection.</t>
  </si>
  <si>
    <t xml:space="preserve">diffusion, semantic perturbation</t>
  </si>
  <si>
    <t xml:space="preserve">https://github.com/joellliu/DiffProtect</t>
  </si>
  <si>
    <t xml:space="preserve">https://arxiv.org/abs/2305.13625</t>
  </si>
  <si>
    <t xml:space="preserve">wang2025mm</t>
  </si>
  <si>
    <t xml:space="preserve">Diffusion-based Adversarial Identity Manipulation for Facial Privacy Protection</t>
  </si>
  <si>
    <t xml:space="preserve">Liqin Wang, Qianyue Hu, Wei Lu, Xiangyang Luo</t>
  </si>
  <si>
    <t xml:space="preserve">ACM Multimedia</t>
  </si>
  <si>
    <t xml:space="preserve">Vision</t>
  </si>
  <si>
    <t xml:space="preserve">Diffusion sampling with identity guidance</t>
  </si>
  <si>
    <t xml:space="preserve">Manipulates identity-relevant components during diffusion sampling to produce protected faces.</t>
  </si>
  <si>
    <t xml:space="preserve">Improved transfer to black-box recognisers with natural results.</t>
  </si>
  <si>
    <t xml:space="preserve">Static protection.</t>
  </si>
  <si>
    <t xml:space="preserve">diffusion, identity manipulation</t>
  </si>
  <si>
    <t xml:space="preserve">https://arxiv.org/abs/2504.21646</t>
  </si>
  <si>
    <t xml:space="preserve">salar2025</t>
  </si>
  <si>
    <t xml:space="preserve">Enhancing Facial Privacy Protection via Weakening Diffusion Purification</t>
  </si>
  <si>
    <t xml:space="preserve">Ali Salar, Qing Liu, Yingli Tian, Guoying Zhao</t>
  </si>
  <si>
    <t xml:space="preserve">CVPR</t>
  </si>
  <si>
    <t xml:space="preserve">Diffusion latent optimisation; IR152, IRSE50, FaceNet, MobileFace</t>
  </si>
  <si>
    <t xml:space="preserve">Learns unconditional embeddings to steer adversarial latent codes so that diffusion purification, a defense that washes out adversarial noise, no longer removes the protection; adds an identity-preserving structure.</t>
  </si>
  <si>
    <t xml:space="preserve">Protection survived purification-based recognisers where earlier methods failed.</t>
  </si>
  <si>
    <t xml:space="preserve">Recognisers that purify inputs before matching.</t>
  </si>
  <si>
    <t xml:space="preserve">Structural consistency with the original.</t>
  </si>
  <si>
    <t xml:space="preserve">Addresses one adaptive defense; others remain.</t>
  </si>
  <si>
    <t xml:space="preserve">diffusion purification, adaptive attacker, latent</t>
  </si>
  <si>
    <t xml:space="preserve">https://github.com/parham1998/Facial-Privacy-Protection</t>
  </si>
  <si>
    <t xml:space="preserve">https://openaccess.thecvf.com/content/CVPR2025/html/Salar_Enhancing_Facial_Privacy_Protection_via_Weakening_Diffusion_Purification_CVPR_2025_paper.html</t>
  </si>
  <si>
    <t xml:space="preserve">kung2025</t>
  </si>
  <si>
    <t xml:space="preserve">Face Anonymization Made Simple</t>
  </si>
  <si>
    <t xml:space="preserve">Han-Wei Kung, Tuomas Varanka, Sanjay Saha, Terence Sim, Nicu Sebe</t>
  </si>
  <si>
    <t xml:space="preserve">WACV (oral)</t>
  </si>
  <si>
    <t xml:space="preserve">Generative de-identification</t>
  </si>
  <si>
    <t xml:space="preserve">CelebA-HQ, FFHQ</t>
  </si>
  <si>
    <t xml:space="preserve">Stable Diffusion fine-tuned for anonymisation and swapping</t>
  </si>
  <si>
    <t xml:space="preserve">A diffusion model trained with reconstruction losses only, needing no landmarks or masks; the same model performs anonymisation and face swapping.</t>
  </si>
  <si>
    <t xml:space="preserve">Preserved expression, head pose, gaze and background while changing identity; simpler pipeline than prior GAN methods.</t>
  </si>
  <si>
    <t xml:space="preserve">Automated face recognition on images.</t>
  </si>
  <si>
    <t xml:space="preserve">Expression, pose, gaze, background.</t>
  </si>
  <si>
    <t xml:space="preserve">Identity leakage not evaluated against adaptive attackers.</t>
  </si>
  <si>
    <t xml:space="preserve">diffusion, no landmarks, face swapping</t>
  </si>
  <si>
    <t xml:space="preserve">https://github.com/hanweikung/face_anon_simple</t>
  </si>
  <si>
    <t xml:space="preserve">https://arxiv.org/abs/2411.00762</t>
  </si>
  <si>
    <t xml:space="preserve">shahreza2025</t>
  </si>
  <si>
    <t xml:space="preserve">Face Reconstruction from Face Embeddings using Adapter to a Face Foundation Model</t>
  </si>
  <si>
    <t xml:space="preserve">Hatef Otroshi Shahreza, Anjith George, Sébastien Marcel</t>
  </si>
  <si>
    <t xml:space="preserve">CVPR Workshops</t>
  </si>
  <si>
    <t xml:space="preserve">FFHQ, LFW, MOBIO, AgeDB</t>
  </si>
  <si>
    <t xml:space="preserve">Arc2Face foundation model + adapters; ArcFace, AdaFace</t>
  </si>
  <si>
    <t xml:space="preserve">Trains a small adapter that maps embeddings from any recogniser into a face foundation model's conditioning space.</t>
  </si>
  <si>
    <t xml:space="preserve">High-fidelity reconstructions from many different recognisers with one foundation model and cheap adapters.</t>
  </si>
  <si>
    <t xml:space="preserve">Attacker with embeddings from arbitrary systems.</t>
  </si>
  <si>
    <t xml:space="preserve">Inherits the foundation model's biases.</t>
  </si>
  <si>
    <t xml:space="preserve">template inversion, foundation model, adapter</t>
  </si>
  <si>
    <t xml:space="preserve">https://arxiv.org/abs/2411.03960</t>
  </si>
  <si>
    <t xml:space="preserve">wang2025survey</t>
  </si>
  <si>
    <t xml:space="preserve">Facial Privacy in the Digital Era: A Comprehensive Survey on Methods, Evaluation, and Future Directions</t>
  </si>
  <si>
    <t xml:space="preserve">Miaomiao Wang et al.</t>
  </si>
  <si>
    <t xml:space="preserve">Computer Science Review</t>
  </si>
  <si>
    <t xml:space="preserve">Organises facial privacy methods into appearance-guided, identity-guided, reversible and modular paradigms with an evaluation review.</t>
  </si>
  <si>
    <t xml:space="preserve">Argues for unified benchmarks jointly measuring privacy, utility and visual quality.</t>
  </si>
  <si>
    <t xml:space="preserve">Author list abbreviated here; see DOI.</t>
  </si>
  <si>
    <t xml:space="preserve">survey, four paradigms</t>
  </si>
  <si>
    <t xml:space="preserve">https://doi.org/10.1016/j.cosrev.2025.100785</t>
  </si>
  <si>
    <t xml:space="preserve">song2025idprotector</t>
  </si>
  <si>
    <t xml:space="preserve">IDProtector: An Adversarial Noise Encoder to Protect Against ID-Preserving Image Generation</t>
  </si>
  <si>
    <t xml:space="preserve">Yiren Song, Pei Yang, Hai Ci, Mike Zheng Shou</t>
  </si>
  <si>
    <t xml:space="preserve">InstantID, IP-Adapter, PhotoMaker, PuLID</t>
  </si>
  <si>
    <t xml:space="preserve">A single feed-forward encoder adds noise that defeats encoder-based, zero-shot identity customisation (InstantID, IP-Adapter, PhotoMaker) rather than fine-tuning-based DreamBooth.</t>
  </si>
  <si>
    <t xml:space="preserve">One-pass protection generalised across identity-preserving generators and survived common transformations.</t>
  </si>
  <si>
    <t xml:space="preserve">Zero-shot face personalisation from one photo.</t>
  </si>
  <si>
    <t xml:space="preserve">Imperceptible noise.</t>
  </si>
  <si>
    <t xml:space="preserve">Targets the current family of encoders; new encoders need retraining.</t>
  </si>
  <si>
    <t xml:space="preserve">encoder-based customisation, InstantID, IP-Adapter</t>
  </si>
  <si>
    <t xml:space="preserve">https://arxiv.org/abs/2412.11638</t>
  </si>
  <si>
    <t xml:space="preserve">razzhigaev2025</t>
  </si>
  <si>
    <t xml:space="preserve">Inverting Black-Box Face Recognition Systems via Zero-Order Optimization in Eigenface Space</t>
  </si>
  <si>
    <t xml:space="preserve">Anton Razzhigaev, Matvey Mikhalchuk, Klim Kireev, Igor Udovichenko, Andrey Kuznetsov, Aleksandr Petiushko</t>
  </si>
  <si>
    <t xml:space="preserve">Black-box recognisers returning scores</t>
  </si>
  <si>
    <t xml:space="preserve">DarkerBB reconstructs a face using only similarity scores returned by a black-box system, optimising in a PCA face space with zero-order methods.</t>
  </si>
  <si>
    <t xml:space="preserve">Competitive reconstructions with no embedding access at all, only scores.</t>
  </si>
  <si>
    <t xml:space="preserve">Any system that returns similarity scores.</t>
  </si>
  <si>
    <t xml:space="preserve">Query-hungry; rate limiting is a mitigation.</t>
  </si>
  <si>
    <t xml:space="preserve">black-box, similarity scores, inversion</t>
  </si>
  <si>
    <t xml:space="preserve">https://arxiv.org/abs/2506.09777</t>
  </si>
  <si>
    <t xml:space="preserve">wang2025percept</t>
  </si>
  <si>
    <t xml:space="preserve">Make Identity Unextractable yet Perceptible: Synthesis-Based Privacy Protection for Subject Faces in Photos</t>
  </si>
  <si>
    <t xml:space="preserve">Tao Wang, Yushu Zhang, Xiangli Xiao, Kun Xu, Lin Yuan, Wenying Wen, Yuming Fang</t>
  </si>
  <si>
    <t xml:space="preserve">CelebA-HQ, LFW</t>
  </si>
  <si>
    <t xml:space="preserve">GAN synthesis with perceptual loss; ArcFace for evaluation</t>
  </si>
  <si>
    <t xml:space="preserve">PerceptFace synthesises a face that automated recognisers cannot match but that friends still recognise, via a perceptual similarity loss on human-sensitive regions.</t>
  </si>
  <si>
    <t xml:space="preserve">Reversed the usual trade-off: machine recognition removed, human recognition kept.</t>
  </si>
  <si>
    <t xml:space="preserve">Automated recognition of shared photos.</t>
  </si>
  <si>
    <t xml:space="preserve">Human recognisability and photo aesthetics.</t>
  </si>
  <si>
    <t xml:space="preserve">Preprint; robustness to adaptive recognisers untested.</t>
  </si>
  <si>
    <t xml:space="preserve">perceptual, synthesis, human recognisability</t>
  </si>
  <si>
    <t xml:space="preserve">https://arxiv.org/abs/2509.11249</t>
  </si>
  <si>
    <t xml:space="preserve">egin2025</t>
  </si>
  <si>
    <t xml:space="preserve">Now You See Me, Now You Don't: A Unified Framework for Expression Consistent Anonymization in Talking Head Videos</t>
  </si>
  <si>
    <t xml:space="preserve">Anil Egin, Andrea Tangherloni, Antitza Dantcheva</t>
  </si>
  <si>
    <t xml:space="preserve">ICCV Workshops</t>
  </si>
  <si>
    <t xml:space="preserve">Talking-head video sets (VoxCeleb, HDTF)</t>
  </si>
  <si>
    <t xml:space="preserve">Diffusion-based anonymiser with expression consistency</t>
  </si>
  <si>
    <t xml:space="preserve">AnonNET anonymises talking-head video while enforcing expression consistency over time.</t>
  </si>
  <si>
    <t xml:space="preserve">Kept expression dynamics stable across frames while identity changed, addressing flicker in per-frame methods.</t>
  </si>
  <si>
    <t xml:space="preserve">Identity recognition in video.</t>
  </si>
  <si>
    <t xml:space="preserve">Expression and lip movement.</t>
  </si>
  <si>
    <t xml:space="preserve">Workshop paper; evaluation on talking-head data only.</t>
  </si>
  <si>
    <t xml:space="preserve">video, expression, talking head</t>
  </si>
  <si>
    <t xml:space="preserve">https://github.com/anilegin/AnonNET</t>
  </si>
  <si>
    <t xml:space="preserve">https://arxiv.org/abs/2601.11635</t>
  </si>
  <si>
    <t xml:space="preserve">wang2025protego</t>
  </si>
  <si>
    <t xml:space="preserve">Protego: User-Centric Pose-Invariant Privacy Protection Against Face Recognition-Induced Digital Footprint Exposure</t>
  </si>
  <si>
    <t xml:space="preserve">Ziling Wang, Shuya Yang, Jialin Lu, Ka-Ho Chow</t>
  </si>
  <si>
    <t xml:space="preserve">CelebA-HQ; multi-pose sets</t>
  </si>
  <si>
    <t xml:space="preserve">3D-aware perturbation template</t>
  </si>
  <si>
    <t xml:space="preserve">A 3D-aware, pose-invariant protection template per user applied across all their photos so recognisers cannot link them.</t>
  </si>
  <si>
    <t xml:space="preserve">Held protection across pose variation where per-image perturbations degrade.</t>
  </si>
  <si>
    <t xml:space="preserve">Linking a user's photos across the web.</t>
  </si>
  <si>
    <t xml:space="preserve">Photos remain natural.</t>
  </si>
  <si>
    <t xml:space="preserve">pose-invariant, 3D, digital footprint</t>
  </si>
  <si>
    <t xml:space="preserve">https://arxiv.org/abs/2508.02034</t>
  </si>
  <si>
    <t xml:space="preserve">labarbarie2025</t>
  </si>
  <si>
    <t xml:space="preserve">Secure and Reversible Face Anonymization with Diffusion Models</t>
  </si>
  <si>
    <t xml:space="preserve">Pol Labarbarie, Vincent Itier, William Puech</t>
  </si>
  <si>
    <t xml:space="preserve">Key-conditioned diffusion model</t>
  </si>
  <si>
    <t xml:space="preserve">Key-conditioned diffusion anonymisation whose inversion recovers the original only with the secret.</t>
  </si>
  <si>
    <t xml:space="preserve">Reversibility with a key and resistance to recovery without it, on standard face benchmarks.</t>
  </si>
  <si>
    <t xml:space="preserve">Unauthorised viewers of stored images.</t>
  </si>
  <si>
    <t xml:space="preserve">Exact recovery for key holder.</t>
  </si>
  <si>
    <t xml:space="preserve">Preprint; security argued empirically.</t>
  </si>
  <si>
    <t xml:space="preserve">diffusion, reversible, key</t>
  </si>
  <si>
    <t xml:space="preserve">https://arxiv.org/abs/2510.01031</t>
  </si>
  <si>
    <t xml:space="preserve">wu2025</t>
  </si>
  <si>
    <t xml:space="preserve">Vec2Face: Scaling Face Dataset Generation with Loosely Constrained Vectors</t>
  </si>
  <si>
    <t xml:space="preserve">Haiyu Wu, Jaskirat Singh, Sicong Tian, Liang Zheng, Kevin W. Bowyer</t>
  </si>
  <si>
    <t xml:space="preserve">ICLR</t>
  </si>
  <si>
    <t xml:space="preserve">Training data &amp; unlearning</t>
  </si>
  <si>
    <t xml:space="preserve">WebFace4M (train); LFW, CFP-FP, AgeDB, CALFW, CPLFW, Hadrian, Eclipse</t>
  </si>
  <si>
    <t xml:space="preserve">Feature-to-image generator; ArcFace/ViT recognisers</t>
  </si>
  <si>
    <t xml:space="preserve">Generates faces from sampled feature vectors with loose constraints, scaling to hundreds of thousands of synthetic identities.</t>
  </si>
  <si>
    <t xml:space="preserve">Larger synthetic identity counts than prior work, approaching real-data accuracy on standard benchmarks.</t>
  </si>
  <si>
    <t xml:space="preserve">Training on real faces.</t>
  </si>
  <si>
    <t xml:space="preserve">Recognition accuracy.</t>
  </si>
  <si>
    <t xml:space="preserve">Leakage from the generator's training data unresolved.</t>
  </si>
  <si>
    <t xml:space="preserve">synthetic data, scalable identities</t>
  </si>
  <si>
    <t xml:space="preserve">https://github.com/HaiyuWu/vec2face</t>
  </si>
  <si>
    <t xml:space="preserve">https://arxiv.org/abs/2409.02979</t>
  </si>
  <si>
    <t xml:space="preserve">zhao2025</t>
  </si>
  <si>
    <t xml:space="preserve">Visual Content Privacy Protection: A Survey</t>
  </si>
  <si>
    <t xml:space="preserve">Ruoyu Zhao, Yushu Zhang, Tao Wang, Wenying Wen, Yong Xiang, Xiaochun Cao</t>
  </si>
  <si>
    <t xml:space="preserve">Surveys protection of visual content across the lifecycle, framed by who the adversary is and what they see.</t>
  </si>
  <si>
    <t xml:space="preserve">Unifies face, scene and document privacy under one threat taxonomy.</t>
  </si>
  <si>
    <t xml:space="preserve">Broad rather than deep on faces.</t>
  </si>
  <si>
    <t xml:space="preserve">survey, visual privacy</t>
  </si>
  <si>
    <t xml:space="preserve">https://arxiv.org/abs/2303.16552</t>
  </si>
  <si>
    <t xml:space="preserve">papantoniou2024</t>
  </si>
  <si>
    <t xml:space="preserve">Arc2Face: A Foundation Model for ID-Consistent Human Faces</t>
  </si>
  <si>
    <t xml:space="preserve">Foivos Paraperas Papantoniou, Alexandros Lattas, Stylianos Moschoglou, Jiankang Deng, Bernhard Kainz, Stefanos Zafeiriou</t>
  </si>
  <si>
    <t xml:space="preserve">ECCV</t>
  </si>
  <si>
    <t xml:space="preserve">WebFace42M (upsampled), FFHQ; LFW, CFP-FP, AgeDB</t>
  </si>
  <si>
    <t xml:space="preserve">Stable Diffusion conditioned on ArcFace</t>
  </si>
  <si>
    <t xml:space="preserve">Diffusion model conditioned directly on ArcFace embeddings to generate identity-consistent faces at scale.</t>
  </si>
  <si>
    <t xml:space="preserve">Enabled high-quality synthetic datasets; also demonstrated how easily an embedding becomes a face, sharpening template-inversion concerns.</t>
  </si>
  <si>
    <t xml:space="preserve">Real-data training (and, inversely, template exposure).</t>
  </si>
  <si>
    <t xml:space="preserve">Recognition accuracy from synthetic data.</t>
  </si>
  <si>
    <t xml:space="preserve">Dual use: a generator for privacy and a tool for inversion.</t>
  </si>
  <si>
    <t xml:space="preserve">foundation model, ArcFace conditioning, synthetic data</t>
  </si>
  <si>
    <t xml:space="preserve">https://github.com/foivospar/Arc2Face</t>
  </si>
  <si>
    <t xml:space="preserve">https://arxiv.org/abs/2403.11641</t>
  </si>
  <si>
    <t xml:space="preserve">zhao2024gridpure</t>
  </si>
  <si>
    <t xml:space="preserve">Can Protective Perturbation Safeguard Personal Data from Being Exploited by Stable Diffusion?</t>
  </si>
  <si>
    <t xml:space="preserve">Zhengyue Zhao, Jinhao Duan, Kaidi Xu, Chenan Wang, Rui Zhang, Zidong Du, Qi Guo, Xing Hu</t>
  </si>
  <si>
    <t xml:space="preserve">CelebA-HQ, VGGFace2, WikiArt</t>
  </si>
  <si>
    <t xml:space="preserve">Stable Diffusion, DreamBooth; DDPM purifier</t>
  </si>
  <si>
    <t xml:space="preserve">GrIDPure: grid-based iterative diffusion purification that removes anti-customisation perturbations while preserving image structure.</t>
  </si>
  <si>
    <t xml:space="preserve">Anti-DreamBooth, Mist and PhotoGuard protections were largely undone; personalised models trained on purified images worked again.</t>
  </si>
  <si>
    <t xml:space="preserve">Photos protected against diffusion personalisation.</t>
  </si>
  <si>
    <t xml:space="preserve">Purification is compute-heavy and can soften fine detail.</t>
  </si>
  <si>
    <t xml:space="preserve">GrIDPure, purification, anti-DreamBooth</t>
  </si>
  <si>
    <t xml:space="preserve">https://github.com/ZhengyueZhao/GrIDPure</t>
  </si>
  <si>
    <t xml:space="preserve">https://arxiv.org/abs/2312.00084</t>
  </si>
  <si>
    <t xml:space="preserve">sun2024</t>
  </si>
  <si>
    <t xml:space="preserve">DiffAM: Diffusion-based Adversarial Makeup Transfer for Facial Privacy Protection</t>
  </si>
  <si>
    <t xml:space="preserve">Yuhao Sun, Lingyun Yu, Hongtao Xie, Jiaming Li, Yongdong Zhang</t>
  </si>
  <si>
    <t xml:space="preserve">CelebA-HQ, LADN, MT</t>
  </si>
  <si>
    <t xml:space="preserve">Fine-tuned diffusion with CLIP loss; IR152, IRSE50, FaceNet, MobileFace; commercial APIs</t>
  </si>
  <si>
    <t xml:space="preserve">Fine-tuned diffusion model transfers makeup from a reference with a CLIP-based makeup loss and an ensemble attack strategy.</t>
  </si>
  <si>
    <t xml:space="preserve">Gain of 12.98% attack success under black-box settings over the previous state of the art, with natural makeup.</t>
  </si>
  <si>
    <t xml:space="preserve">Natural makeup.</t>
  </si>
  <si>
    <t xml:space="preserve">Heavy generation cost; static.</t>
  </si>
  <si>
    <t xml:space="preserve">diffusion, makeup, CLIP</t>
  </si>
  <si>
    <t xml:space="preserve">https://github.com/HansSunY/DiffAM</t>
  </si>
  <si>
    <t xml:space="preserve">https://arxiv.org/abs/2405.09882</t>
  </si>
  <si>
    <t xml:space="preserve">cai2024</t>
  </si>
  <si>
    <t xml:space="preserve">Disguise without Disruption: Utility-Preserving Face De-Identification</t>
  </si>
  <si>
    <t xml:space="preserve">Zikui Cai, Zhongpai Gao, Benjamin Planche, Meng Zheng, Terrence Chen, M. Salman Asif, Ziyan Wu</t>
  </si>
  <si>
    <t xml:space="preserve">AAAI</t>
  </si>
  <si>
    <t xml:space="preserve">Face and clinical benchmarks (see paper)</t>
  </si>
  <si>
    <t xml:space="preserve">Generative disguise network constrained by downstream models</t>
  </si>
  <si>
    <t xml:space="preserve">Generates a disguised face constrained so that downstream analysis models (e.g., clinical or expression models) produce the same outputs as on the original.</t>
  </si>
  <si>
    <t xml:space="preserve">Kept task outputs stable while recognition failed, including on medical images where utility is critical.</t>
  </si>
  <si>
    <t xml:space="preserve">Identity recognition on shared analytic data.</t>
  </si>
  <si>
    <t xml:space="preserve">Downstream task outputs, by constraint.</t>
  </si>
  <si>
    <t xml:space="preserve">Utility tied to chosen tasks; identity leakage through preserved features untested.</t>
  </si>
  <si>
    <t xml:space="preserve">utility, medical, generative</t>
  </si>
  <si>
    <t xml:space="preserve">https://arxiv.org/abs/2303.13269</t>
  </si>
  <si>
    <t xml:space="preserve">wang2024facelock</t>
  </si>
  <si>
    <t xml:space="preserve">Edit Away and My Face Will Not Stay: Personal Biometric Defense against Malicious Generative Editing</t>
  </si>
  <si>
    <t xml:space="preserve">Hanhui Wang, Yihua Zhang, Ruizheng Bai, Yue Zhao, Sijia Liu, Zhengzhong Tu</t>
  </si>
  <si>
    <t xml:space="preserve">Stable Diffusion, InstructPix2Pix, ArcFace</t>
  </si>
  <si>
    <t xml:space="preserve">FaceLock optimises perturbations so that any diffusion edit of the image destroys the face's biometric identity rather than just image quality.</t>
  </si>
  <si>
    <t xml:space="preserve">Edited outputs lost identity by recogniser measures where PhotoGuard-style protection left faces intact.</t>
  </si>
  <si>
    <t xml:space="preserve">Malicious editing of personal photos.</t>
  </si>
  <si>
    <t xml:space="preserve">Preprint; purification not fully addressed.</t>
  </si>
  <si>
    <t xml:space="preserve">FaceLock, generative editing, biometric loss</t>
  </si>
  <si>
    <t xml:space="preserve">https://arxiv.org/abs/2411.16832</t>
  </si>
  <si>
    <t xml:space="preserve">melzi2024frcsyn</t>
  </si>
  <si>
    <t xml:space="preserve">FRCSyn Challenge at WACV 2024: Face Recognition Challenge in the Era of Synthetic Data</t>
  </si>
  <si>
    <t xml:space="preserve">Pietro Melzi, Ruben Tolosana, Ruben Vera-Rodriguez, Minchul Kim, Christian Rathgeb, Xiaoming Liu, Ivan DeAndres-Tame, Aythami Morales, Julian Fierrez, Javier Ortega-Garcia, et al.</t>
  </si>
  <si>
    <t xml:space="preserve">WACV Workshops</t>
  </si>
  <si>
    <t xml:space="preserve">DCFace, GANDiffFace (synthetic); CASIA-WebFace; BUPT-BalancedFace, AgeDB, CFP-FP, ROF, IJB-C</t>
  </si>
  <si>
    <t xml:space="preserve">Participants' ResNet and ViT recognisers</t>
  </si>
  <si>
    <t xml:space="preserve">Community challenge comparing recognisers trained only on synthetic data (DCFace, GANDiffFace) against real-data training, with bias analysis.</t>
  </si>
  <si>
    <t xml:space="preserve">Synthetic-only training approached but did not match real data; mixing synthetic and real reduced demographic bias.</t>
  </si>
  <si>
    <t xml:space="preserve">Real-data collection for training.</t>
  </si>
  <si>
    <t xml:space="preserve">Fixed generators and protocols.</t>
  </si>
  <si>
    <t xml:space="preserve">challenge, synthetic data, benchmark</t>
  </si>
  <si>
    <t xml:space="preserve">https://arxiv.org/abs/2311.10476</t>
  </si>
  <si>
    <t xml:space="preserve">cao2024survey</t>
  </si>
  <si>
    <t xml:space="preserve">Face De-identification: State-of-the-art Methods and Comparative Studies</t>
  </si>
  <si>
    <t xml:space="preserve">Jingyi Cao, Xiangyi Chen, Bo Liu, Ming Ding, Rong Xie, Li Song, Zhu Li, Wenjun Zhang</t>
  </si>
  <si>
    <t xml:space="preserve">arXiv preprint (IEEE journal version 2026)</t>
  </si>
  <si>
    <t xml:space="preserve">CelebA-HQ, FFHQ, LFW (comparisons)</t>
  </si>
  <si>
    <t xml:space="preserve">Many de-identification methods</t>
  </si>
  <si>
    <t xml:space="preserve">Surveys de-identification at pixel, representation and semantic levels and runs quantitative comparisons of leading methods.</t>
  </si>
  <si>
    <t xml:space="preserve">GAN and diffusion methods dominate the privacy-utility trade-off; evaluation protocols remain inconsistent.</t>
  </si>
  <si>
    <t xml:space="preserve">Comparisons on a limited set of benchmarks.</t>
  </si>
  <si>
    <t xml:space="preserve">survey, comparative study, pixel/representation/semantic</t>
  </si>
  <si>
    <t xml:space="preserve">https://arxiv.org/abs/2411.09863</t>
  </si>
  <si>
    <t xml:space="preserve">kuang2024</t>
  </si>
  <si>
    <t xml:space="preserve">Facial Identity Anonymization via Intrinsic and Extrinsic Attention Distraction</t>
  </si>
  <si>
    <t xml:space="preserve">Zhenzhong Kuang, Xiaochen Yang, Yingjie Shen, Chao Hu, Jun Yu</t>
  </si>
  <si>
    <t xml:space="preserve">Attention-guided generator; ArcFace for evaluation</t>
  </si>
  <si>
    <t xml:space="preserve">Distracts a recogniser's attention both inside the face (intrinsic) and via context (extrinsic) while a generator keeps non-identity attributes.</t>
  </si>
  <si>
    <t xml:space="preserve">Improved the anonymity-utility balance over GAN baselines on standard benchmarks.</t>
  </si>
  <si>
    <t xml:space="preserve">Automated face recognition.</t>
  </si>
  <si>
    <t xml:space="preserve">Attributes, background.</t>
  </si>
  <si>
    <t xml:space="preserve">Evaluated against a fixed set of recognisers.</t>
  </si>
  <si>
    <t xml:space="preserve">attention, diffusion, attribute preservation</t>
  </si>
  <si>
    <t xml:space="preserve">https://arxiv.org/abs/2406.17219</t>
  </si>
  <si>
    <t xml:space="preserve">todt2024</t>
  </si>
  <si>
    <t xml:space="preserve">Fantômas: Understanding Face Anonymization Reversibility</t>
  </si>
  <si>
    <t xml:space="preserve">Julian Todt, Simon Hanisch, Thorsten Strufe</t>
  </si>
  <si>
    <t xml:space="preserve">PoPETs</t>
  </si>
  <si>
    <t xml:space="preserve">Security</t>
  </si>
  <si>
    <t xml:space="preserve">CelebA, LFW</t>
  </si>
  <si>
    <t xml:space="preserve">15 anonymisers; FaceNet/ArcFace matchers</t>
  </si>
  <si>
    <t xml:space="preserve">Systematically trains reconstruction and inversion attacks against fifteen face anonymisation methods.</t>
  </si>
  <si>
    <t xml:space="preserve">Eleven of fifteen anonymisations were at least partially reversible; visual unrecognisability was a poor proxy for irreversibility.</t>
  </si>
  <si>
    <t xml:space="preserve">Attacker with anonymised images and knowledge of the method.</t>
  </si>
  <si>
    <t xml:space="preserve">Attacks assume method knowledge.</t>
  </si>
  <si>
    <t xml:space="preserve">reversibility, anonymisation, evaluation</t>
  </si>
  <si>
    <t xml:space="preserve">https://arxiv.org/abs/2210.10651</t>
  </si>
  <si>
    <t xml:space="preserve">zhang2024fmn</t>
  </si>
  <si>
    <t xml:space="preserve">Forget-Me-Not: Learning to Forget in Text-to-Image Diffusion Models</t>
  </si>
  <si>
    <t xml:space="preserve">Eric Zhang, Kai Wang, Xingqian Xu, Zhangyang Wang, Humphrey Shi</t>
  </si>
  <si>
    <t xml:space="preserve">Custom identity and concept prompt sets</t>
  </si>
  <si>
    <t xml:space="preserve">Stable Diffusion</t>
  </si>
  <si>
    <t xml:space="preserve">Attention re-steering minimises cross-attention to the target concept's tokens so the model forgets identities, objects or styles in seconds.</t>
  </si>
  <si>
    <t xml:space="preserve">Forgot celebrity identities and custom concepts with minimal impact on other prompts; released as a lightweight tool.</t>
  </si>
  <si>
    <t xml:space="preserve">Generative models reproducing a real person.</t>
  </si>
  <si>
    <t xml:space="preserve">Other concepts preserved.</t>
  </si>
  <si>
    <t xml:space="preserve">Forgetting can be shallow against paraphrased prompts.</t>
  </si>
  <si>
    <t xml:space="preserve">concept forgetting, attention re-steering, identity</t>
  </si>
  <si>
    <t xml:space="preserve">https://github.com/SHI-Labs/Forget-Me-Not</t>
  </si>
  <si>
    <t xml:space="preserve">https://arxiv.org/abs/2303.17591</t>
  </si>
  <si>
    <t xml:space="preserve">yang2024g2face</t>
  </si>
  <si>
    <t xml:space="preserve">G2Face: High-Fidelity Reversible Face Anonymization via Generative and Geometric Priors</t>
  </si>
  <si>
    <t xml:space="preserve">Haoxin Yang, Xuemiao Xu, Cheng Xu, Huaidong Zhang, Jing Qin, Yi Wang, Pheng-Ann Heng, Shengfeng He</t>
  </si>
  <si>
    <t xml:space="preserve">StyleGAN2, 3DMM; ArcFace</t>
  </si>
  <si>
    <t xml:space="preserve">Combines a 3D geometric prior with StyleGAN generative priors and a secret to produce reversible anonymisation at high fidelity.</t>
  </si>
  <si>
    <t xml:space="preserve">Better identity removal and recovery quality than RiDDLE-class methods on standard face sets.</t>
  </si>
  <si>
    <t xml:space="preserve">Unauthorised recognition of stored or shared images.</t>
  </si>
  <si>
    <t xml:space="preserve">Recovery for key holder; pose and expression.</t>
  </si>
  <si>
    <t xml:space="preserve">Empirical security of the reversal path.</t>
  </si>
  <si>
    <t xml:space="preserve">reversible, 3D prior, StyleGAN</t>
  </si>
  <si>
    <t xml:space="preserve">https://github.com/Harxis/G2Face</t>
  </si>
  <si>
    <t xml:space="preserve">https://arxiv.org/abs/2408.09458</t>
  </si>
  <si>
    <t xml:space="preserve">hellmann2023</t>
  </si>
  <si>
    <t xml:space="preserve">GANonymization: A GAN-based Face Anonymization Framework for Preserving Emotional Expressions</t>
  </si>
  <si>
    <t xml:space="preserve">Fabio Hellmann, Silvan Mertes, Mohamed Benouis, Alexander Hustinx, Tzung-Chien Hsieh, Cristina Conati, Peter Krawitz, Elisabeth André</t>
  </si>
  <si>
    <t xml:space="preserve">ACM TOMM</t>
  </si>
  <si>
    <t xml:space="preserve">CelebA, FFHQ, AffectNet, CK+</t>
  </si>
  <si>
    <t xml:space="preserve">Landmark-to-image GAN</t>
  </si>
  <si>
    <t xml:space="preserve">Reduces a face to landmarks and regenerates a new face from them with a GAN, so identity is discarded while expression geometry survives.</t>
  </si>
  <si>
    <t xml:space="preserve">Expression recognition on anonymised faces stayed close to the original across several datasets.</t>
  </si>
  <si>
    <t xml:space="preserve">Identity recognition in affective-computing datasets.</t>
  </si>
  <si>
    <t xml:space="preserve">Emotional expression.</t>
  </si>
  <si>
    <t xml:space="preserve">Landmark-only conditioning loses skin, age and gaze cues.</t>
  </si>
  <si>
    <t xml:space="preserve">expression, landmarks, GAN</t>
  </si>
  <si>
    <t xml:space="preserve">https://github.com/hcmlab/GANonymization</t>
  </si>
  <si>
    <t xml:space="preserve">https://arxiv.org/abs/2305.02143</t>
  </si>
  <si>
    <t xml:space="preserve">seo2024guide</t>
  </si>
  <si>
    <t xml:space="preserve">Generative Unlearning for Any Identity</t>
  </si>
  <si>
    <t xml:space="preserve">Juwon Seo, Sung-Hoon Lee, Tae-Young Lee, Seungjun Moon, Gyeong-Moon Park</t>
  </si>
  <si>
    <t xml:space="preserve">StyleGAN2</t>
  </si>
  <si>
    <t xml:space="preserve">GUIDE unlearns a specific identity from a pretrained GAN using a single image by erasing its latent neighbourhood with a boundary-based loss.</t>
  </si>
  <si>
    <t xml:space="preserve">Removed identities from StyleGAN2 while keeping generation quality, needing only one photo of the person.</t>
  </si>
  <si>
    <t xml:space="preserve">Generative models that can reproduce a real person.</t>
  </si>
  <si>
    <t xml:space="preserve">Generation quality for other identities.</t>
  </si>
  <si>
    <t xml:space="preserve">GAN-specific; extension to diffusion separate.</t>
  </si>
  <si>
    <t xml:space="preserve">GUIDE, GAN unlearning, identity</t>
  </si>
  <si>
    <t xml:space="preserve">https://github.com/JJuOn/GUIDE</t>
  </si>
  <si>
    <t xml:space="preserve">https://arxiv.org/abs/2405.09879</t>
  </si>
  <si>
    <t xml:space="preserve">dealcala2024</t>
  </si>
  <si>
    <t xml:space="preserve">Is My Data in Your AI Model? Membership Inference Test with Application to Face Images</t>
  </si>
  <si>
    <t xml:space="preserve">Daniel DeAlcala, Aythami Morales, Gonzalo Mancera, Julian Fierrez, Ruben Tolosana, Javier Ortega-Garcia</t>
  </si>
  <si>
    <t xml:space="preserve">CASIA-WebFace, VGGFace2, MS1M, LFW</t>
  </si>
  <si>
    <t xml:space="preserve">ResNet-based ArcFace models</t>
  </si>
  <si>
    <t xml:space="preserve">Membership Inference Test: trained auditors over activation patterns to detect whether specific face images were used to train a recogniser.</t>
  </si>
  <si>
    <t xml:space="preserve">Detected training membership of face images with high accuracy across recognisers and datasets.</t>
  </si>
  <si>
    <t xml:space="preserve">Unauthorised use of a person's images for training.</t>
  </si>
  <si>
    <t xml:space="preserve">Needs access to activations; preprint.</t>
  </si>
  <si>
    <t xml:space="preserve">MINT, membership inference, face recognition</t>
  </si>
  <si>
    <t xml:space="preserve">https://arxiv.org/abs/2402.09225</t>
  </si>
  <si>
    <t xml:space="preserve">piano2024</t>
  </si>
  <si>
    <t xml:space="preserve">Latent Diffusion Models for Attribute-Preserving Image Anonymization</t>
  </si>
  <si>
    <t xml:space="preserve">Luca Piano, Pietro Basci, Fabrizio Lamberti, Lia Morra</t>
  </si>
  <si>
    <t xml:space="preserve">Stable Diffusion with ControlNet and adapter</t>
  </si>
  <si>
    <t xml:space="preserve">CAMOUFLaGE: latent diffusion with ControlNets that push the anonymised image away from the original while an adapter encodes attributes to keep.</t>
  </si>
  <si>
    <t xml:space="preserve">Reported better attribute preservation and anonymity than GAN methods on most metrics.</t>
  </si>
  <si>
    <t xml:space="preserve">Identity recognition in shared images.</t>
  </si>
  <si>
    <t xml:space="preserve">Scene and facial attributes.</t>
  </si>
  <si>
    <t xml:space="preserve">Preprint; slow sampling.</t>
  </si>
  <si>
    <t xml:space="preserve">diffusion, ControlNet, attributes</t>
  </si>
  <si>
    <t xml:space="preserve">https://arxiv.org/abs/2403.14790</t>
  </si>
  <si>
    <t xml:space="preserve">wang2024canfg</t>
  </si>
  <si>
    <t xml:space="preserve">Make Privacy Renewable! Generating Privacy-Preserving Faces Supporting Cancelable Biometric Recognition</t>
  </si>
  <si>
    <t xml:space="preserve">Tao Wang, Yushu Zhang, Xiangli Xiao, Lin Yuan, Zhihua Xia, Jian Weng</t>
  </si>
  <si>
    <t xml:space="preserve">Cancelable face generator; ArcFace for evaluation</t>
  </si>
  <si>
    <t xml:space="preserve">CanFG removes the physical identity and embeds a revocable virtual identity into a generated face, so the face can still be enrolled and matched.</t>
  </si>
  <si>
    <t xml:space="preserve">Faces remained usable for recognition under the virtual identity; a leaked identity can be revoked and reissued.</t>
  </si>
  <si>
    <t xml:space="preserve">Re-identification after a database leak.</t>
  </si>
  <si>
    <t xml:space="preserve">Recognition on the virtual identity.</t>
  </si>
  <si>
    <t xml:space="preserve">Security of the virtual identity mapping is empirical.</t>
  </si>
  <si>
    <t xml:space="preserve">cancelable, virtual identity, generative</t>
  </si>
  <si>
    <t xml:space="preserve">https://github.com/daizigege/CanFG</t>
  </si>
  <si>
    <t xml:space="preserve">https://doi.org/10.1145/3664647.3680704</t>
  </si>
  <si>
    <t xml:space="preserve">liu2024metacloak</t>
  </si>
  <si>
    <t xml:space="preserve">MetaCloak: Preventing Unauthorized Subject-Driven Text-to-Image Diffusion-Based Synthesis via Meta-Learning</t>
  </si>
  <si>
    <t xml:space="preserve">Yixin Liu, Chenrui Fan, Yutong Dai, Xun Chen, Pan Zhou, Lichao Sun</t>
  </si>
  <si>
    <t xml:space="preserve">CVPR (oral)</t>
  </si>
  <si>
    <t xml:space="preserve">CelebA-HQ, VGGFace2</t>
  </si>
  <si>
    <t xml:space="preserve">Stable Diffusion 2.1 with DreamBooth</t>
  </si>
  <si>
    <t xml:space="preserve">Meta-learns perturbations over a pool of surrogate models with transformation sampling so protection survives Gaussian filtering, JPEG and resizing.</t>
  </si>
  <si>
    <t xml:space="preserve">Outperformed Anti-DreamBooth under data transformations and remained effective on online services.</t>
  </si>
  <si>
    <t xml:space="preserve">Personalised diffusion fine-tuning with preprocessing.</t>
  </si>
  <si>
    <t xml:space="preserve">Small perturbations.</t>
  </si>
  <si>
    <t xml:space="preserve">Still purifiable with stronger diffusion purification.</t>
  </si>
  <si>
    <t xml:space="preserve">anti-customisation, meta-learning, robust</t>
  </si>
  <si>
    <t xml:space="preserve">https://github.com/liuyixin-louis/MetaCloak</t>
  </si>
  <si>
    <t xml:space="preserve">https://arxiv.org/abs/2311.13127</t>
  </si>
  <si>
    <t xml:space="preserve">shan2024nightshade</t>
  </si>
  <si>
    <t xml:space="preserve">Nightshade: Prompt-Specific Poisoning Attacks on Text-to-Image Generative Models</t>
  </si>
  <si>
    <t xml:space="preserve">Shawn Shan, Wenxin Ding, Josephine Passananti, Stanley Wu, Haitao Zheng, Ben Y. Zhao</t>
  </si>
  <si>
    <t xml:space="preserve">IEEE Symposium on Security and Privacy</t>
  </si>
  <si>
    <t xml:space="preserve">LAION subsets</t>
  </si>
  <si>
    <t xml:space="preserve">Stable Diffusion XL, SD 2.1</t>
  </si>
  <si>
    <t xml:space="preserve">Optimised poison samples that corrupt a specific concept in a text-to-image model trained on them, with fewer than a hundred samples.</t>
  </si>
  <si>
    <t xml:space="preserve">Concept corruption bled into related prompts; positioned as a deterrent against scraping.</t>
  </si>
  <si>
    <t xml:space="preserve">Scraping for text-to-image training.</t>
  </si>
  <si>
    <t xml:space="preserve">Images look normal.</t>
  </si>
  <si>
    <t xml:space="preserve">Detectable in principle; effect on very large models unclear.</t>
  </si>
  <si>
    <t xml:space="preserve">poisoning, text-to-image, deterrent</t>
  </si>
  <si>
    <t xml:space="preserve">https://arxiv.org/abs/2310.13828</t>
  </si>
  <si>
    <t xml:space="preserve">chow2024</t>
  </si>
  <si>
    <t xml:space="preserve">Personalized Privacy Protection Mask Against Unauthorized Facial Recognition</t>
  </si>
  <si>
    <t xml:space="preserve">Ka-Ho Chow, Sihao Hu, Tiansheng Huang, Ling Liu</t>
  </si>
  <si>
    <t xml:space="preserve">ArcFace, FaceNet and unseen recognisers</t>
  </si>
  <si>
    <t xml:space="preserve">Cross-image optimisation yields one user-specific mask that generalises across the user's photos and unknown recognisers.</t>
  </si>
  <si>
    <t xml:space="preserve">Improved robustness to unseen models over per-image perturbations while keeping image quality.</t>
  </si>
  <si>
    <t xml:space="preserve">Unknown recognisers on a user's photos.</t>
  </si>
  <si>
    <t xml:space="preserve">Image quality preserved.</t>
  </si>
  <si>
    <t xml:space="preserve">Same arms-race exposure as other static masks.</t>
  </si>
  <si>
    <t xml:space="preserve">personalised mask, cross-image, robustness</t>
  </si>
  <si>
    <t xml:space="preserve">https://arxiv.org/abs/2407.13975</t>
  </si>
  <si>
    <t xml:space="preserve">xu2024caat</t>
  </si>
  <si>
    <t xml:space="preserve">Perturbing Attention Gives You More Bang for the Buck: Subtle Imaging Perturbations That Efficiently Fool Customized Diffusion Models</t>
  </si>
  <si>
    <t xml:space="preserve">Jingyao Xu, Yuetong Lu, Yandong Li, Siyang Lu, Dongdong Wang, Xiang Wei</t>
  </si>
  <si>
    <t xml:space="preserve">Stable Diffusion v1.4/2.1 with DreamBooth, LoRA</t>
  </si>
  <si>
    <t xml:space="preserve">CAAT targets cross-attention layers, which change most during fine-tuning, so small perturbations derail customisation cheaply.</t>
  </si>
  <si>
    <t xml:space="preserve">Matched or beat prior anti-customisation at a fraction of the compute.</t>
  </si>
  <si>
    <t xml:space="preserve">Diffusion personalisation on a face.</t>
  </si>
  <si>
    <t xml:space="preserve">Subtle perturbations.</t>
  </si>
  <si>
    <t xml:space="preserve">Purification-based bypass.</t>
  </si>
  <si>
    <t xml:space="preserve">anti-customisation, cross-attention, efficiency</t>
  </si>
  <si>
    <t xml:space="preserve">https://arxiv.org/abs/2404.15081</t>
  </si>
  <si>
    <t xml:space="preserve">mi2024</t>
  </si>
  <si>
    <t xml:space="preserve">Privacy-Preserving Face Recognition Using Trainable Feature Subtraction</t>
  </si>
  <si>
    <t xml:space="preserve">Yuxi Mi, Zhizhou Zhong, Yuge Huang, Jiazhen Ji, Jianqing Xu, Jun Wang, Shaoming Wang, Shouhong Ding, Shuigeng Zhou</t>
  </si>
  <si>
    <t xml:space="preserve">Template protection</t>
  </si>
  <si>
    <t xml:space="preserve">CASIA-WebFace, MS1M (train); LFW, CFP-FP, AgeDB, IJB-B, IJB-C</t>
  </si>
  <si>
    <t xml:space="preserve">Generative + recognition pair (MinusFace)</t>
  </si>
  <si>
    <t xml:space="preserve">MinusFace represents a face by the residue between the image and its regeneration, then shuffles it, giving a visually uninformative but recognisable representation.</t>
  </si>
  <si>
    <t xml:space="preserve">Strong resistance to reconstruction with accuracy near baseline.</t>
  </si>
  <si>
    <t xml:space="preserve">Server or eavesdropper reconstructing faces.</t>
  </si>
  <si>
    <t xml:space="preserve">Empirical privacy; adaptive attacks continue.</t>
  </si>
  <si>
    <t xml:space="preserve">MinusFace, feature subtraction, shuffle</t>
  </si>
  <si>
    <t xml:space="preserve">https://github.com/Tencent/TFace</t>
  </si>
  <si>
    <t xml:space="preserve">https://openaccess.thecvf.com/content/CVPR2024/html/Mi_Privacy-Preserving_Face_Recognition_Using_Trainable_Feature_Subtraction_CVPR_2024_paper.html</t>
  </si>
  <si>
    <t xml:space="preserve">fan2024salun</t>
  </si>
  <si>
    <t xml:space="preserve">SalUn: Empowering Machine Unlearning via Gradient-Based Weight Saliency in Both Image Classification and Generation</t>
  </si>
  <si>
    <t xml:space="preserve">Chongyu Fan, Jiancheng Liu, Yihua Zhang, Eric Wong, Dennis Wei, Sijia Liu</t>
  </si>
  <si>
    <t xml:space="preserve">ICLR (spotlight)</t>
  </si>
  <si>
    <t xml:space="preserve">CIFAR-10, CIFAR-100, SVHN, ImageNette, CelebA-HQ</t>
  </si>
  <si>
    <t xml:space="preserve">ResNet-18, VGG-16, DDPM, Stable Diffusion</t>
  </si>
  <si>
    <t xml:space="preserve">Computes gradient-based weight saliency to restrict unlearning updates to the weights that matter, then applies random labelling.</t>
  </si>
  <si>
    <t xml:space="preserve">Near-retrain forgetting on classifiers and the first effective unlearning for conditional diffusion, including identity removal on CelebA-HQ.</t>
  </si>
  <si>
    <t xml:space="preserve">Deletion of identities or concepts from discriminative and generative models.</t>
  </si>
  <si>
    <t xml:space="preserve">Retained accuracy and generation quality.</t>
  </si>
  <si>
    <t xml:space="preserve">Approximate; hyperparameter sensitive.</t>
  </si>
  <si>
    <t xml:space="preserve">weight saliency, classification and generation, faces</t>
  </si>
  <si>
    <t xml:space="preserve">https://github.com/OPTML-Group/Unlearn-Saliency</t>
  </si>
  <si>
    <t xml:space="preserve">https://arxiv.org/abs/2310.12508</t>
  </si>
  <si>
    <t xml:space="preserve">wang2024simac</t>
  </si>
  <si>
    <t xml:space="preserve">SimAC: A Simple Anti-Customization Method for Protecting Face Privacy against Text-to-Image Synthesis of Diffusion Models</t>
  </si>
  <si>
    <t xml:space="preserve">Feifei Wang, Zhentao Tan, Tianyi Wei, Yue Wu, Qidong Huang</t>
  </si>
  <si>
    <t xml:space="preserve">Stable Diffusion with DreamBooth</t>
  </si>
  <si>
    <t xml:space="preserve">Adaptive greedy timestep selection plus feature-interference loss at intermediate layers, a simpler and stronger anti-customisation objective.</t>
  </si>
  <si>
    <t xml:space="preserve">Improved identity disruption over Anti-DreamBooth with less computation.</t>
  </si>
  <si>
    <t xml:space="preserve">DreamBooth-style personalisation of a face.</t>
  </si>
  <si>
    <t xml:space="preserve">Purification remains effective against it.</t>
  </si>
  <si>
    <t xml:space="preserve">anti-customisation, timestep selection, feature interference</t>
  </si>
  <si>
    <t xml:space="preserve">https://github.com/somuchtome/SimAC</t>
  </si>
  <si>
    <t xml:space="preserve">https://arxiv.org/abs/2312.07865</t>
  </si>
  <si>
    <t xml:space="preserve">dolatabadi2024</t>
  </si>
  <si>
    <t xml:space="preserve">The Devil's Advocate: Shattering the Illusion of Unexploitable Data using Diffusion Models</t>
  </si>
  <si>
    <t xml:space="preserve">Hadi M. Dolatabadi, Sarah Erfani, Christopher Leckie</t>
  </si>
  <si>
    <t xml:space="preserve">IEEE SaTML</t>
  </si>
  <si>
    <t xml:space="preserve">CIFAR-10, CIFAR-100, ImageNet subset</t>
  </si>
  <si>
    <t xml:space="preserve">DDPM purification</t>
  </si>
  <si>
    <t xml:space="preserve">Uses diffusion models to purify protective perturbations from training data before learning.</t>
  </si>
  <si>
    <t xml:space="preserve">Removed availability-poisoning protections, making 'unexploitable' data exploitable again; the same purification idea threatens cloaks.</t>
  </si>
  <si>
    <t xml:space="preserve">Attacker training on protected data.</t>
  </si>
  <si>
    <t xml:space="preserve">Purification can also degrade fine details.</t>
  </si>
  <si>
    <t xml:space="preserve">diffusion purification, unlearnable data, poisoning</t>
  </si>
  <si>
    <t xml:space="preserve">https://arxiv.org/abs/2303.08500</t>
  </si>
  <si>
    <t xml:space="preserve">shahreza2024</t>
  </si>
  <si>
    <t xml:space="preserve">Vulnerability of State-of-the-Art Face Recognition Models to Template Inversion Attack</t>
  </si>
  <si>
    <t xml:space="preserve">Hatef Otroshi Shahreza, Vedrana Krivokuća Hahn, Sébastien Marcel</t>
  </si>
  <si>
    <t xml:space="preserve">FFHQ, MOBIO, LFW, AgeDB</t>
  </si>
  <si>
    <t xml:space="preserve">Many state-of-the-art recognisers</t>
  </si>
  <si>
    <t xml:space="preserve">Benchmarks inversion attacks across many modern recognisers and both white-box and black-box settings.</t>
  </si>
  <si>
    <t xml:space="preserve">Every tested state-of-the-art model was vulnerable; concluded templates must be protected, not merely kept secret.</t>
  </si>
  <si>
    <t xml:space="preserve">Attacker with templates.</t>
  </si>
  <si>
    <t xml:space="preserve">Academic models; commercial systems inferred.</t>
  </si>
  <si>
    <t xml:space="preserve">template inversion, benchmark</t>
  </si>
  <si>
    <t xml:space="preserve">https://doi.org/10.1109/TIFS.2024.3381820</t>
  </si>
  <si>
    <t xml:space="preserve">rigaki2023</t>
  </si>
  <si>
    <t xml:space="preserve">A Survey of Privacy Attacks in Machine Learning</t>
  </si>
  <si>
    <t xml:space="preserve">Maria Rigaki, Sebastian Garcia</t>
  </si>
  <si>
    <t xml:space="preserve">Taxonomy of privacy attacks on models: membership inference, reconstruction, property inference and model extraction, with defenses.</t>
  </si>
  <si>
    <t xml:space="preserve">Places face template inversion and membership inference in the general attack landscape.</t>
  </si>
  <si>
    <t xml:space="preserve">General ML rather than face-specific.</t>
  </si>
  <si>
    <t xml:space="preserve">survey, membership inference, model inversion</t>
  </si>
  <si>
    <t xml:space="preserve">https://arxiv.org/abs/2007.07646</t>
  </si>
  <si>
    <t xml:space="preserve">kumari2023</t>
  </si>
  <si>
    <t xml:space="preserve">Ablating Concepts in Text-to-Image Diffusion Models</t>
  </si>
  <si>
    <t xml:space="preserve">Nupur Kumari, Bingliang Zhang, Sheng-Yu Wang, Eli Shechtman, Richard Zhang, Jun-Yan Zhu</t>
  </si>
  <si>
    <t xml:space="preserve">ICCV</t>
  </si>
  <si>
    <t xml:space="preserve">Custom concept prompt sets</t>
  </si>
  <si>
    <t xml:space="preserve">Stable Diffusion v1.4</t>
  </si>
  <si>
    <t xml:space="preserve">Maps a target concept's distribution onto an anchor concept so the model generates the anchor when asked for the target.</t>
  </si>
  <si>
    <t xml:space="preserve">Ablated specific instances, styles and memorised images in minutes with little collateral damage.</t>
  </si>
  <si>
    <t xml:space="preserve">Generative models reproducing specific people or works.</t>
  </si>
  <si>
    <t xml:space="preserve">Related concepts preserved.</t>
  </si>
  <si>
    <t xml:space="preserve">Anchor choice matters; adversarial recovery possible.</t>
  </si>
  <si>
    <t xml:space="preserve">concept ablation, diffusion, copyright</t>
  </si>
  <si>
    <t xml:space="preserve">https://github.com/nupurkmr9/concept-ablation</t>
  </si>
  <si>
    <t xml:space="preserve">https://arxiv.org/abs/2303.13516</t>
  </si>
  <si>
    <t xml:space="preserve">liang2023</t>
  </si>
  <si>
    <t xml:space="preserve">Adversarial Example Does Good: Preventing Painting Imitation from Diffusion Models via Adversarial Examples</t>
  </si>
  <si>
    <t xml:space="preserve">Chumeng Liang, Xiaoyu Wu, Yang Hua, Jiaru Zhang, Yiming Xue, Tao Song, Zhengui Xue, Ruhui Ma, Haibing Guan</t>
  </si>
  <si>
    <t xml:space="preserve">ICML</t>
  </si>
  <si>
    <t xml:space="preserve">WikiArt, LSUN, own artwork</t>
  </si>
  <si>
    <t xml:space="preserve">Stable Diffusion v1.4/1.5</t>
  </si>
  <si>
    <t xml:space="preserve">AdvDM: adversarial examples for latent diffusion models via Monte Carlo estimation of the diffusion loss gradient; basis of the Mist tool.</t>
  </si>
  <si>
    <t xml:space="preserve">Textual-inversion and DreamBooth mimicry of protected artworks degraded sharply.</t>
  </si>
  <si>
    <t xml:space="preserve">Style and subject mimicry by fine-tuned diffusion models.</t>
  </si>
  <si>
    <t xml:space="preserve">Perturbations visible at strong settings.</t>
  </si>
  <si>
    <t xml:space="preserve">Broken by GrIDPure and by Hönig et al.'s robust mimicry pipelines.</t>
  </si>
  <si>
    <t xml:space="preserve">AdvDM, Mist, artwork, diffusion</t>
  </si>
  <si>
    <t xml:space="preserve">https://github.com/mist-project/mist</t>
  </si>
  <si>
    <t xml:space="preserve">https://arxiv.org/abs/2302.04578</t>
  </si>
  <si>
    <t xml:space="preserve">vanle2023</t>
  </si>
  <si>
    <t xml:space="preserve">Anti-DreamBooth: Protecting Users from Personalized Text-to-Image Synthesis</t>
  </si>
  <si>
    <t xml:space="preserve">Thanh Van Le, Hao Phung, Thuan Hoang Nguyen, Quan Dao, Ngoc N. Tran, Anh Tran</t>
  </si>
  <si>
    <t xml:space="preserve">Stable Diffusion v1.4, v1.5, v2.1 with DreamBooth</t>
  </si>
  <si>
    <t xml:space="preserve">ASPL: alternating surrogate and perturbation learning produces noise that makes DreamBooth fine-tuning on a person's photos yield distorted, unusable faces.</t>
  </si>
  <si>
    <t xml:space="preserve">Personalised models trained on protected photos produced low-quality faces across Stable Diffusion versions and prompts; introduced FDFR and ISM metrics.</t>
  </si>
  <si>
    <t xml:space="preserve">Deepfake personalisation of a user's face from a few photos.</t>
  </si>
  <si>
    <t xml:space="preserve">Photos usable by people; visible noise at high budgets.</t>
  </si>
  <si>
    <t xml:space="preserve">GrIDPure and other purification remove the protection; robustness to JPEG and resizing limited (MetaCloak addresses).</t>
  </si>
  <si>
    <t xml:space="preserve">anti-customisation, DreamBooth, faces</t>
  </si>
  <si>
    <t xml:space="preserve">https://github.com/VinAIResearch/Anti-DreamBooth</t>
  </si>
  <si>
    <t xml:space="preserve">https://arxiv.org/abs/2303.15433</t>
  </si>
  <si>
    <t xml:space="preserve">barattin2023</t>
  </si>
  <si>
    <t xml:space="preserve">Attribute-Preserving Face Dataset Anonymization via Latent Code Optimization</t>
  </si>
  <si>
    <t xml:space="preserve">Simone Barattin, Christos Tzelepis, Ioannis Patras, Nicu Sebe</t>
  </si>
  <si>
    <t xml:space="preserve">StyleGAN2, FaRL features; ArcFace for evaluation</t>
  </si>
  <si>
    <t xml:space="preserve">Optimises each image's latent code in a pretrained GAN with an identity-distance loss and a feature-matching loss in FaRL space to keep facial attributes.</t>
  </si>
  <si>
    <t xml:space="preserve">Anonymised whole datasets while preserving attributes better than prior work, enabling training on anonymised data.</t>
  </si>
  <si>
    <t xml:space="preserve">Re-identification of people in released datasets.</t>
  </si>
  <si>
    <t xml:space="preserve">Facial attributes for downstream training.</t>
  </si>
  <si>
    <t xml:space="preserve">Slow per-image optimisation; dependent on GAN inversion.</t>
  </si>
  <si>
    <t xml:space="preserve">FALCO, StyleGAN, dataset anonymization</t>
  </si>
  <si>
    <t xml:space="preserve">https://github.com/chi0tzp/FALCO</t>
  </si>
  <si>
    <t xml:space="preserve">https://arxiv.org/abs/2303.11296</t>
  </si>
  <si>
    <t xml:space="preserve">hahn2023</t>
  </si>
  <si>
    <t xml:space="preserve">Biometric Template Protection for Neural-Network-Based Face Recognition Systems: A Survey of Methods and Evaluation Techniques</t>
  </si>
  <si>
    <t xml:space="preserve">Vedrana Krivokuća Hahn, Sébastien Marcel</t>
  </si>
  <si>
    <t xml:space="preserve">Survey (many)</t>
  </si>
  <si>
    <t xml:space="preserve">Survey of template protection for deep face embeddings and a critique of how recognition accuracy, irreversibility and unlinkability are evaluated.</t>
  </si>
  <si>
    <t xml:space="preserve">Found inconsistent threat models and evaluation across the literature and proposed a common protocol.</t>
  </si>
  <si>
    <t xml:space="preserve">Template compromise.</t>
  </si>
  <si>
    <t xml:space="preserve">Focused on face embeddings only.</t>
  </si>
  <si>
    <t xml:space="preserve">survey, evaluation</t>
  </si>
  <si>
    <t xml:space="preserve">https://arxiv.org/abs/2110.05044</t>
  </si>
  <si>
    <t xml:space="preserve">chen2023boundary</t>
  </si>
  <si>
    <t xml:space="preserve">Boundary Unlearning: Rapid Forgetting of Deep Networks via Shifting the Decision Boundary</t>
  </si>
  <si>
    <t xml:space="preserve">Min Chen, Weizhuo Gao, Gaoyang Liu, Kai Peng, Chen Wang</t>
  </si>
  <si>
    <t xml:space="preserve">CIFAR-10, VGGFace2 subset</t>
  </si>
  <si>
    <t xml:space="preserve">ResNet-18</t>
  </si>
  <si>
    <t xml:space="preserve">Shifts or expands the decision boundary of the forgotten class rather than editing parameters globally.</t>
  </si>
  <si>
    <t xml:space="preserve">Removed an identity from a face recognition model on VGGFace2 with a 17× speed-up over retraining, near-retrain accuracy.</t>
  </si>
  <si>
    <t xml:space="preserve">Removing a person from a trained face recogniser.</t>
  </si>
  <si>
    <t xml:space="preserve">Retained-class accuracy.</t>
  </si>
  <si>
    <t xml:space="preserve">Class-level, not sample-level, unlearning.</t>
  </si>
  <si>
    <t xml:space="preserve">decision boundary, class unlearning, faces</t>
  </si>
  <si>
    <t xml:space="preserve">https://arxiv.org/abs/2303.11570</t>
  </si>
  <si>
    <t xml:space="preserve">shamshad2023</t>
  </si>
  <si>
    <t xml:space="preserve">CLIP2Protect: Protecting Facial Privacy using Text-Guided Makeup via Adversarial Latent Search</t>
  </si>
  <si>
    <t xml:space="preserve">Fahad Shamshad, Muzammal Naseer, Karthik Nandakumar</t>
  </si>
  <si>
    <t xml:space="preserve">StyleGAN2, CLIP; IR152, IRSE50, FaceNet, MobileFace</t>
  </si>
  <si>
    <t xml:space="preserve">Searches adversarial codes in a generative model's latent space, guided by a text makeup prompt and an identity-preserving regulariser.</t>
  </si>
  <si>
    <t xml:space="preserve">Absolute gain of 12.06% in black-box transferability over prior facial privacy methods on verification.</t>
  </si>
  <si>
    <t xml:space="preserve">Text-controllable natural makeup.</t>
  </si>
  <si>
    <t xml:space="preserve">Per-image optimisation cost; relies on GAN inversion.</t>
  </si>
  <si>
    <t xml:space="preserve">CLIP, latent search, makeup</t>
  </si>
  <si>
    <t xml:space="preserve">https://github.com/fahadshamshad/Clip2Protect</t>
  </si>
  <si>
    <t xml:space="preserve">https://arxiv.org/abs/2306.10008</t>
  </si>
  <si>
    <t xml:space="preserve">sadasivan2023</t>
  </si>
  <si>
    <t xml:space="preserve">CUDA: Convolution-based Unlearnable Datasets</t>
  </si>
  <si>
    <t xml:space="preserve">Vinu Sankar Sadasivan, Mahdi Soltanolkotabi, Soheil Feizi</t>
  </si>
  <si>
    <t xml:space="preserve">CIFAR-10, CIFAR-100, ImageNet-100</t>
  </si>
  <si>
    <t xml:space="preserve">ResNet-18, VGG, DenseNet, ViT</t>
  </si>
  <si>
    <t xml:space="preserve">Applies class-wise randomly generated blur filters, a model-free convolutional shortcut.</t>
  </si>
  <si>
    <t xml:space="preserve">Fast to generate, and more robust than additive noise to adversarial training and to some augmentations.</t>
  </si>
  <si>
    <t xml:space="preserve">Unauthorised training.</t>
  </si>
  <si>
    <t xml:space="preserve">Slight blur visible.</t>
  </si>
  <si>
    <t xml:space="preserve">Filters can be estimated and inverted.</t>
  </si>
  <si>
    <t xml:space="preserve">unlearnable datasets, convolution, class-wise filters</t>
  </si>
  <si>
    <t xml:space="preserve">https://github.com/vinusankars/Convolution-based-Unlearnability</t>
  </si>
  <si>
    <t xml:space="preserve">https://arxiv.org/abs/2303.04278</t>
  </si>
  <si>
    <t xml:space="preserve">chundawat2023a</t>
  </si>
  <si>
    <t xml:space="preserve">Can Bad Teaching Induce Forgetting? Unlearning in Deep Networks Using an Incompetent Teacher</t>
  </si>
  <si>
    <t xml:space="preserve">Vikram S. Chundawat, Ayush K. Tarun, Murari Mandal, Mohan Kankanhalli</t>
  </si>
  <si>
    <t xml:space="preserve">CIFAR-10, CIFAR-100, MNIST</t>
  </si>
  <si>
    <t xml:space="preserve">ResNet-18, AllCNN</t>
  </si>
  <si>
    <t xml:space="preserve">Distils the forget set toward a randomly initialised incompetent teacher and the retain set toward the original model.</t>
  </si>
  <si>
    <t xml:space="preserve">Fast approximate unlearning with a new ZRF metric for how much a model still knows.</t>
  </si>
  <si>
    <t xml:space="preserve">Deletion requests.</t>
  </si>
  <si>
    <t xml:space="preserve">Retain-set accuracy.</t>
  </si>
  <si>
    <t xml:space="preserve">Approximate; no formal guarantee.</t>
  </si>
  <si>
    <t xml:space="preserve">teacher-student, approximate unlearning</t>
  </si>
  <si>
    <t xml:space="preserve">https://github.com/vikram2000b/bad-teaching-unlearning</t>
  </si>
  <si>
    <t xml:space="preserve">https://arxiv.org/abs/2205.08096</t>
  </si>
  <si>
    <t xml:space="preserve">shahreza2023tpami</t>
  </si>
  <si>
    <t xml:space="preserve">Comprehensive Vulnerability Evaluation of Face Recognition Systems to Template Inversion Attacks via 3D Face Reconstruction</t>
  </si>
  <si>
    <t xml:space="preserve">Hatef Otroshi Shahreza, Sébastien Marcel</t>
  </si>
  <si>
    <t xml:space="preserve">IEEE TPAMI</t>
  </si>
  <si>
    <t xml:space="preserve">MOBIO, LFW, AgeDB, FFHQ</t>
  </si>
  <si>
    <t xml:space="preserve">ArcFace, ElasticFace and other recognisers</t>
  </si>
  <si>
    <t xml:space="preserve">Reconstructs 3D faces from templates and uses them for digital and physical presentation attacks.</t>
  </si>
  <si>
    <t xml:space="preserve">Reconstructed faces passed several state-of-the-art recognisers and transferred across systems.</t>
  </si>
  <si>
    <t xml:space="preserve">Attacker with leaked templates.</t>
  </si>
  <si>
    <t xml:space="preserve">Evaluation on academic systems.</t>
  </si>
  <si>
    <t xml:space="preserve">template inversion, 3D, presentation attack</t>
  </si>
  <si>
    <t xml:space="preserve">https://doi.org/10.1109/TPAMI.2023.3312123</t>
  </si>
  <si>
    <t xml:space="preserve">kim2023</t>
  </si>
  <si>
    <t xml:space="preserve">DCFace: Synthetic Face Generation with Dual Condition Diffusion Model</t>
  </si>
  <si>
    <t xml:space="preserve">Minchul Kim, Feng Liu, Anil K. Jain, Xiaoming Liu</t>
  </si>
  <si>
    <t xml:space="preserve">CASIA-WebFace (train); DCFace 0.5M/1.2M; LFW, CFP-FP, CPLFW, AgeDB, CALFW</t>
  </si>
  <si>
    <t xml:space="preserve">Dual-condition DDPM; IR-50/IR-101 AdaFace</t>
  </si>
  <si>
    <t xml:space="preserve">Diffusion model conditioned on an identity image and a style image to generate many consistent images per synthetic subject.</t>
  </si>
  <si>
    <t xml:space="preserve">Set the 2023 state of the art for synthetic-trained recognition and controlled intra-class variation explicitly.</t>
  </si>
  <si>
    <t xml:space="preserve">Training on real scraped faces.</t>
  </si>
  <si>
    <t xml:space="preserve">Identity generator seeded from real images.</t>
  </si>
  <si>
    <t xml:space="preserve">synthetic data, diffusion, dual condition</t>
  </si>
  <si>
    <t xml:space="preserve">https://github.com/mk-minchul/dcface</t>
  </si>
  <si>
    <t xml:space="preserve">https://arxiv.org/abs/2304.07060</t>
  </si>
  <si>
    <t xml:space="preserve">hukkelas2023</t>
  </si>
  <si>
    <t xml:space="preserve">DeepPrivacy2: Towards Realistic Full-Body Anonymization</t>
  </si>
  <si>
    <t xml:space="preserve">Håkon Hukkelås, Frank Lindseth</t>
  </si>
  <si>
    <t xml:space="preserve">WACV</t>
  </si>
  <si>
    <t xml:space="preserve">FDF256, FDH (Flickr Diverse Humans)</t>
  </si>
  <si>
    <t xml:space="preserve">Style-based GAN with surface guidance</t>
  </si>
  <si>
    <t xml:space="preserve">Detects faces and bodies and generates full-body replacements with a style-based GAN conditioned on surface and keypoint maps.</t>
  </si>
  <si>
    <t xml:space="preserve">Extended anonymisation from faces to bodies at higher resolution; released as a usable toolkit.</t>
  </si>
  <si>
    <t xml:space="preserve">Recognition by face or body in datasets and footage.</t>
  </si>
  <si>
    <t xml:space="preserve">Pose, scene; suitable for training data.</t>
  </si>
  <si>
    <t xml:space="preserve">Generated bodies can be inconsistent across frames; heavy compute.</t>
  </si>
  <si>
    <t xml:space="preserve">full body, GAN, high resolution</t>
  </si>
  <si>
    <t xml:space="preserve">https://github.com/hukkelas/deep_privacy2</t>
  </si>
  <si>
    <t xml:space="preserve">https://arxiv.org/abs/2211.09454</t>
  </si>
  <si>
    <t xml:space="preserve">dockhorn2023</t>
  </si>
  <si>
    <t xml:space="preserve">Differentially Private Diffusion Models</t>
  </si>
  <si>
    <t xml:space="preserve">Tim Dockhorn, Tianshi Cao, Arash Vahdat, Karsten Kreis</t>
  </si>
  <si>
    <t xml:space="preserve">TMLR</t>
  </si>
  <si>
    <t xml:space="preserve">Obfuscation &amp; differential privacy</t>
  </si>
  <si>
    <t xml:space="preserve">MNIST, Fashion-MNIST, CelebA (32×32)</t>
  </si>
  <si>
    <t xml:space="preserve">Diffusion (DDPM-style)</t>
  </si>
  <si>
    <t xml:space="preserve">Trains diffusion models with DP-SGD and noise multiplicity to reduce gradient variance.</t>
  </si>
  <si>
    <t xml:space="preserve">State-of-the-art DP image synthesis including 32×32 CelebA faces; DP-trained synthetic data trained useful downstream classifiers.</t>
  </si>
  <si>
    <t xml:space="preserve">Training-sample leakage from generative models.</t>
  </si>
  <si>
    <t xml:space="preserve">Synthetic data utility.</t>
  </si>
  <si>
    <t xml:space="preserve">Low resolution; large compute.</t>
  </si>
  <si>
    <t xml:space="preserve">DP diffusion, synthetic faces</t>
  </si>
  <si>
    <t xml:space="preserve">https://github.com/nv-tlabs/DP-Diffusion</t>
  </si>
  <si>
    <t xml:space="preserve">https://arxiv.org/abs/2210.09929</t>
  </si>
  <si>
    <t xml:space="preserve">ghalebikesabi2023</t>
  </si>
  <si>
    <t xml:space="preserve">Differentially Private Diffusion Models Generate Useful Synthetic Images</t>
  </si>
  <si>
    <t xml:space="preserve">Sahra Ghalebikesabi, Leonard Berrada, Sven Gowal, Ira Ktena, Robert Stanforth, Jamie Hayes, Soham De, Samuel L. Smith, Olivia Wiles, Borja Balle</t>
  </si>
  <si>
    <t xml:space="preserve">CIFAR-10, Camelyon17</t>
  </si>
  <si>
    <t xml:space="preserve">Diffusion models</t>
  </si>
  <si>
    <t xml:space="preserve">Fine-tunes ImageNet-pretrained diffusion models with DP-SGD to generate synthetic training sets.</t>
  </si>
  <si>
    <t xml:space="preserve">Classifiers trained on DP synthetic data approached the accuracy of DP training on real data at epsilon 10.</t>
  </si>
  <si>
    <t xml:space="preserve">Training-sample leakage.</t>
  </si>
  <si>
    <t xml:space="preserve">Downstream classifier accuracy.</t>
  </si>
  <si>
    <t xml:space="preserve">Relies on public pretraining data.</t>
  </si>
  <si>
    <t xml:space="preserve">DP diffusion, pretraining, utility</t>
  </si>
  <si>
    <t xml:space="preserve">https://arxiv.org/abs/2302.13861</t>
  </si>
  <si>
    <t xml:space="preserve">bae2023</t>
  </si>
  <si>
    <t xml:space="preserve">DigiFace-1M: 1 Million Digital Face Images for Face Recognition</t>
  </si>
  <si>
    <t xml:space="preserve">Gwangbin Bae, Martin de La Gorce, Tadas Baltrušaitis, Charlie Hewitt, Dong Chen, Julien Valentin, Roberto Cipolla, Jingjing Shen</t>
  </si>
  <si>
    <t xml:space="preserve">DigiFace-1M (released); LFW, CFP-FP, AgeDB, CALFW, CPLFW</t>
  </si>
  <si>
    <t xml:space="preserve">Rendered 3D faces; ResNet-50</t>
  </si>
  <si>
    <t xml:space="preserve">Renders 1.22 million images of 110,000 synthetic identities from a 3D face model built with consented scans.</t>
  </si>
  <si>
    <t xml:space="preserve">Recognisers trained on rendered faces approached real-data accuracy with no scraped identities at all.</t>
  </si>
  <si>
    <t xml:space="preserve">Consent and copyright issues of scraped datasets.</t>
  </si>
  <si>
    <t xml:space="preserve">Recognition accuracy (gap to real data remains).</t>
  </si>
  <si>
    <t xml:space="preserve">Domain gap of rendered faces; expensive pipeline.</t>
  </si>
  <si>
    <t xml:space="preserve">synthetic data, 3D rendering, consent</t>
  </si>
  <si>
    <t xml:space="preserve">https://github.com/microsoft/DigiFace1M</t>
  </si>
  <si>
    <t xml:space="preserve">https://arxiv.org/abs/2210.02579</t>
  </si>
  <si>
    <t xml:space="preserve">wen2023</t>
  </si>
  <si>
    <t xml:space="preserve">Divide and Conquer: a Two-Step Method for High Quality Face De-Identification with Model Explainability</t>
  </si>
  <si>
    <t xml:space="preserve">Yunqian Wen, Bo Liu, Jingyi Cao, Rong Xie, Li Song</t>
  </si>
  <si>
    <t xml:space="preserve">EG3D/NeRF generator, StyleGAN refinement; ArcFace</t>
  </si>
  <si>
    <t xml:space="preserve">IDeudemon: first protects identity in a 3D-aware (NeRF-based) generator's identity code, then restores utility with a GAN refinement, with explainable identity steps.</t>
  </si>
  <si>
    <t xml:space="preserve">High-quality de-identification with controllable identity distance and pose consistency.</t>
  </si>
  <si>
    <t xml:space="preserve">Automated recognition on shared images.</t>
  </si>
  <si>
    <t xml:space="preserve">Pose, expression, background.</t>
  </si>
  <si>
    <t xml:space="preserve">Heavy two-stage pipeline.</t>
  </si>
  <si>
    <t xml:space="preserve">IDeudemon, NeRF, explainability</t>
  </si>
  <si>
    <t xml:space="preserve">https://openaccess.thecvf.com/content/ICCV2023/html/Wen_Divide_and_Conquer_a_Two-Step_Method_for_High_Quality_Face_ICCV_2023_paper.html</t>
  </si>
  <si>
    <t xml:space="preserve">hukkelas2023eval</t>
  </si>
  <si>
    <t xml:space="preserve">Does Image Anonymization Impact Computer Vision Training?</t>
  </si>
  <si>
    <t xml:space="preserve">COCO, Cityscapes, BDD100K</t>
  </si>
  <si>
    <t xml:space="preserve">Mask R-CNN and other detectors/segmenters</t>
  </si>
  <si>
    <t xml:space="preserve">Trains detection, segmentation and pose models on datasets anonymised by blur, mask and realistic generation, and measures the drop.</t>
  </si>
  <si>
    <t xml:space="preserve">Traditional anonymisation degraded training noticeably; realistic generative anonymisation reduced but did not eliminate the gap.</t>
  </si>
  <si>
    <t xml:space="preserve">Not a threat paper: measures utility cost.</t>
  </si>
  <si>
    <t xml:space="preserve">Quantified per task.</t>
  </si>
  <si>
    <t xml:space="preserve">Face and body only; a few datasets.</t>
  </si>
  <si>
    <t xml:space="preserve">evaluation, utility, training data</t>
  </si>
  <si>
    <t xml:space="preserve">https://arxiv.org/abs/2306.05135</t>
  </si>
  <si>
    <t xml:space="preserve">gandikota2023</t>
  </si>
  <si>
    <t xml:space="preserve">Erasing Concepts from Diffusion Models</t>
  </si>
  <si>
    <t xml:space="preserve">Rohit Gandikota, Joanna Materzyńska, Jaden Fiotto-Kaufman, David Bau</t>
  </si>
  <si>
    <t xml:space="preserve">COCO prompts, artist styles, I2P</t>
  </si>
  <si>
    <t xml:space="preserve">ESD fine-tunes a diffusion model with negative guidance from its own knowledge to erase a concept, style or identity without retraining.</t>
  </si>
  <si>
    <t xml:space="preserve">Erased artistic styles, objects and nudity while leaving other generation intact; used for removing people from models.</t>
  </si>
  <si>
    <t xml:space="preserve">A generative model that can render a real person on request.</t>
  </si>
  <si>
    <t xml:space="preserve">Erased concepts can sometimes be recovered with adversarial prompts.</t>
  </si>
  <si>
    <t xml:space="preserve">concept erasure, diffusion, ESD</t>
  </si>
  <si>
    <t xml:space="preserve">https://github.com/rohitgandikota/erasing</t>
  </si>
  <si>
    <t xml:space="preserve">https://arxiv.org/abs/2303.07345</t>
  </si>
  <si>
    <t xml:space="preserve">chen2023auditor</t>
  </si>
  <si>
    <t xml:space="preserve">FACE-AUDITOR: Data Auditing in Facial Recognition Systems</t>
  </si>
  <si>
    <t xml:space="preserve">Min Chen, Zhikun Zhang, Tianhao Wang, Michael Backes, Yang Zhang</t>
  </si>
  <si>
    <t xml:space="preserve">USENIX Security</t>
  </si>
  <si>
    <t xml:space="preserve">UMDFaces, WebFace, VGGFace2, CelebA</t>
  </si>
  <si>
    <t xml:space="preserve">SiameseNet, ProtoNet, RelationNet</t>
  </si>
  <si>
    <t xml:space="preserve">Lets a user test whether their face images were used to train a few-shot face recognition system, using auxiliary information and probing.</t>
  </si>
  <si>
    <t xml:space="preserve">High auditing accuracy across few-shot recognisers; a tool for enforcing deletion and consent.</t>
  </si>
  <si>
    <t xml:space="preserve">Unauthorised use of a person's photos to train recognisers.</t>
  </si>
  <si>
    <t xml:space="preserve">Targets few-shot systems; adaptive training can evade.</t>
  </si>
  <si>
    <t xml:space="preserve">auditing, membership inference, few-shot FR</t>
  </si>
  <si>
    <t xml:space="preserve">https://github.com/MinChen00/Face-Auditor</t>
  </si>
  <si>
    <t xml:space="preserve">https://arxiv.org/abs/2304.02782</t>
  </si>
  <si>
    <t xml:space="preserve">rosberg2023</t>
  </si>
  <si>
    <t xml:space="preserve">FIVA: Facial Image and Video Anonymization and Anonymization Defense</t>
  </si>
  <si>
    <t xml:space="preserve">Felix Rosberg, Eren Erdal Aksoy, Cristofer Englund, Fernando Alonso-Fernandez</t>
  </si>
  <si>
    <t xml:space="preserve">CelebA-HQ, VoxCeleb</t>
  </si>
  <si>
    <t xml:space="preserve">StyleGAN-based swapping; ArcFace</t>
  </si>
  <si>
    <t xml:space="preserve">Face-swap based anonymiser with temporal consistency and a defense that stops the anonymised face from being re-anonymised or reverted.</t>
  </si>
  <si>
    <t xml:space="preserve">Consistent video anonymisation and protection against re-swapping.</t>
  </si>
  <si>
    <t xml:space="preserve">Recognition in video and re-identification attacks on anonymised output.</t>
  </si>
  <si>
    <t xml:space="preserve">Expression, pose, video quality.</t>
  </si>
  <si>
    <t xml:space="preserve">Workshop-scale evaluation.</t>
  </si>
  <si>
    <t xml:space="preserve">video, anonymisation defense, face swapping</t>
  </si>
  <si>
    <t xml:space="preserve">https://arxiv.org/abs/2309.04228</t>
  </si>
  <si>
    <t xml:space="preserve">shahreza2023neurips</t>
  </si>
  <si>
    <t xml:space="preserve">Face Reconstruction from Facial Templates by Learning Latent Space of a Generator Network</t>
  </si>
  <si>
    <t xml:space="preserve">NeurIPS</t>
  </si>
  <si>
    <t xml:space="preserve">StyleGAN3 generator; ArcFace, ElasticFace, AdaFace</t>
  </si>
  <si>
    <t xml:space="preserve">Learns a mapping from templates to the intermediate latent space of a pretrained face generator to produce high-resolution reconstructions.</t>
  </si>
  <si>
    <t xml:space="preserve">Realistic reconstructions in white-box and black-box settings that also impersonated the subject against other recognisers.</t>
  </si>
  <si>
    <t xml:space="preserve">Generator domain limits pose and age range.</t>
  </si>
  <si>
    <t xml:space="preserve">template inversion, StyleGAN, white-box, black-box</t>
  </si>
  <si>
    <t xml:space="preserve">https://proceedings.neurips.cc/paper_files/paper/2023/hash/29e4b51d45dc8f534260adc45b587363-Abstract-Conference.html</t>
  </si>
  <si>
    <t xml:space="preserve">shan2023glaze</t>
  </si>
  <si>
    <t xml:space="preserve">Glaze: Protecting Artists from Style Mimicry by Text-to-Image Models</t>
  </si>
  <si>
    <t xml:space="preserve">Shawn Shan, Jenna Cryan, Emily Wenger, Haitao Zheng, Rana Hanocka, Ben Y. Zhao</t>
  </si>
  <si>
    <t xml:space="preserve">Artists' portfolios; WikiArt</t>
  </si>
  <si>
    <t xml:space="preserve">Stable Diffusion, DreamBooth</t>
  </si>
  <si>
    <t xml:space="preserve">Style cloaks: perturb artwork toward a target style in feature space so fine-tuned models learn the wrong style. From the Fawkes team.</t>
  </si>
  <si>
    <t xml:space="preserve">Artists in a user study rated mimicry of cloaked work as failed in over 90% of cases; deployed as a desktop app with over a million downloads.</t>
  </si>
  <si>
    <t xml:space="preserve">Style mimicry by fine-tuned text-to-image models.</t>
  </si>
  <si>
    <t xml:space="preserve">Small visible changes on some art.</t>
  </si>
  <si>
    <t xml:space="preserve">Hönig et al. (2024) showed simple robust mimicry bypasses it; the arms race from Fawkes repeats.</t>
  </si>
  <si>
    <t xml:space="preserve">style cloak, artists, diffusion</t>
  </si>
  <si>
    <t xml:space="preserve">https://arxiv.org/abs/2302.04222</t>
  </si>
  <si>
    <t xml:space="preserve">boutros2023idiff</t>
  </si>
  <si>
    <t xml:space="preserve">IDiff-Face: Synthetic-based Face Recognition through Fuzzy Identity-Conditioned Diffusion Models</t>
  </si>
  <si>
    <t xml:space="preserve">Fadi Boutros, Jonas Henry Grebe, Arjan Kuijper, Naser Damer</t>
  </si>
  <si>
    <t xml:space="preserve">FFHQ (train); LFW, AgeDB, CFP-FP, CALFW, CPLFW</t>
  </si>
  <si>
    <t xml:space="preserve">Latent diffusion; ResNet-50</t>
  </si>
  <si>
    <t xml:space="preserve">Latent diffusion conditioned on identity embeddings with contextual partial dropout for intra-class diversity.</t>
  </si>
  <si>
    <t xml:space="preserve">Strong synthetic-only recognition with tunable diversity.</t>
  </si>
  <si>
    <t xml:space="preserve">Same generator-leakage caveat.</t>
  </si>
  <si>
    <t xml:space="preserve">synthetic data, diffusion, fuzzy identity</t>
  </si>
  <si>
    <t xml:space="preserve">https://github.com/fdbtrs/IDiff-Face</t>
  </si>
  <si>
    <t xml:space="preserve">https://arxiv.org/abs/2308.04995</t>
  </si>
  <si>
    <t xml:space="preserve">cao2023impress</t>
  </si>
  <si>
    <t xml:space="preserve">IMPRESS: Evaluating the Resilience of Imperceptible Perturbations Against Unauthorized Data Usage in Diffusion-Based Generative AI</t>
  </si>
  <si>
    <t xml:space="preserve">Bochuan Cao, Changjiang Li, Ting Wang, Jinyuan Jia, Bo Li, Jinghui Chen</t>
  </si>
  <si>
    <t xml:space="preserve">WikiArt, CelebA-HQ</t>
  </si>
  <si>
    <t xml:space="preserve">Stable Diffusion; Glaze, PhotoGuard</t>
  </si>
  <si>
    <t xml:space="preserve">Purifies protected images by enforcing consistency between an image and its diffusion reconstruction, removing imperceptible protective perturbations.</t>
  </si>
  <si>
    <t xml:space="preserve">Substantially weakened Glaze and PhotoGuard protections on art and faces.</t>
  </si>
  <si>
    <t xml:space="preserve">Images protected against diffusion misuse.</t>
  </si>
  <si>
    <t xml:space="preserve">Some visible quality loss after purification.</t>
  </si>
  <si>
    <t xml:space="preserve">purification, Glaze, PhotoGuard, consistency</t>
  </si>
  <si>
    <t xml:space="preserve">https://arxiv.org/abs/2310.19248</t>
  </si>
  <si>
    <t xml:space="preserve">liu2023iss</t>
  </si>
  <si>
    <t xml:space="preserve">Image Shortcut Squeezing: Countering Perturbative Availability Poisons with Compression</t>
  </si>
  <si>
    <t xml:space="preserve">Zhuoran Liu, Zhengyu Zhao, Martha Larson</t>
  </si>
  <si>
    <t xml:space="preserve">ResNet-18 with compression preprocessing</t>
  </si>
  <si>
    <t xml:space="preserve">Applies simple compression (JPEG, grayscale, bit-depth reduction) before training to squeeze out perturbative availability poisons.</t>
  </si>
  <si>
    <t xml:space="preserve">Restored accuracy against twelve poisoning methods, in several cases to within a few points of clean training.</t>
  </si>
  <si>
    <t xml:space="preserve">Data protected by unlearnable-example noise.</t>
  </si>
  <si>
    <t xml:space="preserve">Some robust poisons resist; compression costs a little accuracy.</t>
  </si>
  <si>
    <t xml:space="preserve">unlearnable examples, compression, JPEG</t>
  </si>
  <si>
    <t xml:space="preserve">https://github.com/liuzrcc/ImageShortcutSqueezing</t>
  </si>
  <si>
    <t xml:space="preserve">https://arxiv.org/abs/2301.13838</t>
  </si>
  <si>
    <t xml:space="preserve">klemp2023</t>
  </si>
  <si>
    <t xml:space="preserve">LDFA: Latent Diffusion Face Anonymization for Self-Driving Applications</t>
  </si>
  <si>
    <t xml:space="preserve">Marvin Klemp, Kevin Rösch, Royden Wagner, Jannik Quehl, Martin Lauer</t>
  </si>
  <si>
    <t xml:space="preserve">Cityscapes</t>
  </si>
  <si>
    <t xml:space="preserve">Latent diffusion inpainting</t>
  </si>
  <si>
    <t xml:space="preserve">Inpaints detected faces in driving-scene images with a latent diffusion model.</t>
  </si>
  <si>
    <t xml:space="preserve">Anonymised training data with a smaller drop in downstream segmentation than blur or mask baselines.</t>
  </si>
  <si>
    <t xml:space="preserve">Re-identification of pedestrians in driving datasets.</t>
  </si>
  <si>
    <t xml:space="preserve">Segmentation and detection training.</t>
  </si>
  <si>
    <t xml:space="preserve">Small faces; diffusion cost per image.</t>
  </si>
  <si>
    <t xml:space="preserve">diffusion, inpainting, autonomous driving</t>
  </si>
  <si>
    <t xml:space="preserve">https://arxiv.org/abs/2302.08931</t>
  </si>
  <si>
    <t xml:space="preserve">melzi2023</t>
  </si>
  <si>
    <t xml:space="preserve">Multi-IVE: Privacy Enhancement of Multiple Soft-Biometrics in Face Embeddings</t>
  </si>
  <si>
    <t xml:space="preserve">Pietro Melzi, Christian Rathgeb, Ruben Tolosana, Ruben Vera-Rodriguez, Aythami Morales, Dominik Lawatsch, Florian Domin, Maxim Schaub</t>
  </si>
  <si>
    <t xml:space="preserve">MAAD-Face, LFW</t>
  </si>
  <si>
    <t xml:space="preserve">ArcFace embeddings</t>
  </si>
  <si>
    <t xml:space="preserve">Extends incremental variable elimination to suppress several attributes at once from deep embeddings.</t>
  </si>
  <si>
    <t xml:space="preserve">Joint suppression of gender, age and ethnicity information with limited recognition loss.</t>
  </si>
  <si>
    <t xml:space="preserve">Attribute inference from stored embeddings.</t>
  </si>
  <si>
    <t xml:space="preserve">Recognition.</t>
  </si>
  <si>
    <t xml:space="preserve">Linear elimination; residual leakage.</t>
  </si>
  <si>
    <t xml:space="preserve">IVE, multiple attributes, embeddings</t>
  </si>
  <si>
    <t xml:space="preserve">https://arxiv.org/abs/2301.02516</t>
  </si>
  <si>
    <t xml:space="preserve">ciftci2023</t>
  </si>
  <si>
    <t xml:space="preserve">My Face My Choice: Privacy Enhancing Deepfakes for Social Media Anonymization</t>
  </si>
  <si>
    <t xml:space="preserve">Umur Aybars Ciftci, Gokturk Yuksek, Ilke Demir</t>
  </si>
  <si>
    <t xml:space="preserve">Face-swap generator; ArcFace and commercial APIs for evaluation</t>
  </si>
  <si>
    <t xml:space="preserve">Uses face swapping to replace non-consenting faces in shared photos with dissimilar synthetic identities, governed by user access permissions.</t>
  </si>
  <si>
    <t xml:space="preserve">Recognition accuracy on swapped faces dropped to near zero for the tested systems while photos stayed natural.</t>
  </si>
  <si>
    <t xml:space="preserve">Recognition of bystanders and friends in uploaded photos.</t>
  </si>
  <si>
    <t xml:space="preserve">Photo realism and social utility.</t>
  </si>
  <si>
    <t xml:space="preserve">Deepfake quality varies with pose; platform integration hypothetical.</t>
  </si>
  <si>
    <t xml:space="preserve">deepfake, social media, access control</t>
  </si>
  <si>
    <t xml:space="preserve">https://arxiv.org/abs/2211.01361</t>
  </si>
  <si>
    <t xml:space="preserve">wu2023ops</t>
  </si>
  <si>
    <t xml:space="preserve">One-Pixel Shortcut: On the Learning Preference of Deep Neural Networks</t>
  </si>
  <si>
    <t xml:space="preserve">Shutong Wu, Sizhe Chen, Cihang Xie, Xiaolin Huang</t>
  </si>
  <si>
    <t xml:space="preserve">ResNet-18, ViT</t>
  </si>
  <si>
    <t xml:space="preserve">Perturbs a single pixel per class to a fixed value, exploiting networks' preference for easy features.</t>
  </si>
  <si>
    <t xml:space="preserve">One pixel per image made CIFAR-10 unlearnable, and the shortcut survived adversarial training better than dense noise.</t>
  </si>
  <si>
    <t xml:space="preserve">Nearly invisible change.</t>
  </si>
  <si>
    <t xml:space="preserve">Detectable and removable by simple filters once known.</t>
  </si>
  <si>
    <t xml:space="preserve">shortcut, one pixel, availability poisoning</t>
  </si>
  <si>
    <t xml:space="preserve">https://github.com/cychomatica/One-Pixel-Shotcut</t>
  </si>
  <si>
    <t xml:space="preserve">https://arxiv.org/abs/2205.12141</t>
  </si>
  <si>
    <t xml:space="preserve">mi2023</t>
  </si>
  <si>
    <t xml:space="preserve">Privacy-Preserving Face Recognition Using Random Frequency Components</t>
  </si>
  <si>
    <t xml:space="preserve">Yuxi Mi, Yuge Huang, Jiazhen Ji, Minyi Zhao, Jiaxiang Wu, Xingkun Xu, Shouhong Ding, Shuigeng Zhou</t>
  </si>
  <si>
    <t xml:space="preserve">ResNet on random DCT components</t>
  </si>
  <si>
    <t xml:space="preserve">Prunes human-perceivable low frequencies and trains and infers on randomly selected high-frequency components so no fixed subset can be inverted.</t>
  </si>
  <si>
    <t xml:space="preserve">Maintained accuracy while making reconstruction from transmitted data markedly harder than fixed-channel schemes.</t>
  </si>
  <si>
    <t xml:space="preserve">Server reconstructing the query face.</t>
  </si>
  <si>
    <t xml:space="preserve">Later distillation-based attacks (FaceLinkGen 2026) report identity leakage from such systems.</t>
  </si>
  <si>
    <t xml:space="preserve">PartialFace, random frequencies, reconstruction resistance</t>
  </si>
  <si>
    <t xml:space="preserve">https://arxiv.org/abs/2308.10461</t>
  </si>
  <si>
    <t xml:space="preserve">salman2023</t>
  </si>
  <si>
    <t xml:space="preserve">Raising the Cost of Malicious AI-Powered Image Editing</t>
  </si>
  <si>
    <t xml:space="preserve">Hadi Salman, Alaa Khaddaj, Guillaume Leclerc, Andrew Ilyas, Aleksander Madry</t>
  </si>
  <si>
    <t xml:space="preserve">ImageNet and own photo sets</t>
  </si>
  <si>
    <t xml:space="preserve">Stable Diffusion v1.5 (latent encoder)</t>
  </si>
  <si>
    <t xml:space="preserve">PhotoGuard immunises a photo with an encoder attack or a full diffusion attack so that latent-diffusion editing of the image fails.</t>
  </si>
  <si>
    <t xml:space="preserve">Edited outputs of immunised images became grey or incoherent; argued for platform-level immunisation.</t>
  </si>
  <si>
    <t xml:space="preserve">Malicious editing of a person's photo with diffusion models.</t>
  </si>
  <si>
    <t xml:space="preserve">Imperceptible change.</t>
  </si>
  <si>
    <t xml:space="preserve">Circumvented by resizing, noise or purification; diffusion attack is expensive.</t>
  </si>
  <si>
    <t xml:space="preserve">PhotoGuard, immunisation, diffusion editing</t>
  </si>
  <si>
    <t xml:space="preserve">https://github.com/MadryLab/photoguard</t>
  </si>
  <si>
    <t xml:space="preserve">https://arxiv.org/abs/2302.06588</t>
  </si>
  <si>
    <t xml:space="preserve">li2023riddle</t>
  </si>
  <si>
    <t xml:space="preserve">RiDDLE: Reversible and Diversified De-identification with Latent Encryptor</t>
  </si>
  <si>
    <t xml:space="preserve">Dongze Li, Wei Wang, Kang Zhao, Jing Dong, Tieniu Tan</t>
  </si>
  <si>
    <t xml:space="preserve">StyleGAN2 + latent encryptor; ArcFace for evaluation</t>
  </si>
  <si>
    <t xml:space="preserve">A lightweight encryptor acting in StyleGAN2 latent space: passwords drive diverse anonymisations; only the right password decrypts, a wrong one gives another anonymous face.</t>
  </si>
  <si>
    <t xml:space="preserve">Diverse, high-quality de-identified faces with exact recovery; encryption and decryption share one efficient network.</t>
  </si>
  <si>
    <t xml:space="preserve">Unauthorised recognition of stored images.</t>
  </si>
  <si>
    <t xml:space="preserve">Attributes, pose; recovery for key holder.</t>
  </si>
  <si>
    <t xml:space="preserve">Relies on GAN inversion fidelity; security is empirical.</t>
  </si>
  <si>
    <t xml:space="preserve">StyleGAN2, reversible, password</t>
  </si>
  <si>
    <t xml:space="preserve">https://github.com/DongzeLi-CASIA/RiDDLE</t>
  </si>
  <si>
    <t xml:space="preserve">https://arxiv.org/abs/2303.05171</t>
  </si>
  <si>
    <t xml:space="preserve">heng2023</t>
  </si>
  <si>
    <t xml:space="preserve">Selective Amnesia: A Continual Learning Approach to Forgetting in Deep Generative Models</t>
  </si>
  <si>
    <t xml:space="preserve">Alvin Heng, Harold Soh</t>
  </si>
  <si>
    <t xml:space="preserve">MNIST, CIFAR-10, STL-10, CelebA; SD prompts</t>
  </si>
  <si>
    <t xml:space="preserve">VAE, DDPM, Stable Diffusion v1.4</t>
  </si>
  <si>
    <t xml:space="preserve">Combines elastic weight consolidation and generative replay so a generative model forgets a class or a person while keeping the rest.</t>
  </si>
  <si>
    <t xml:space="preserve">Forgot celebrity identities in Stable Diffusion and classes in VAEs and DDPMs.</t>
  </si>
  <si>
    <t xml:space="preserve">Generative models that reproduce a specific person.</t>
  </si>
  <si>
    <t xml:space="preserve">Other generation quality.</t>
  </si>
  <si>
    <t xml:space="preserve">Requires access to model weights and a surrogate for the forgotten distribution.</t>
  </si>
  <si>
    <t xml:space="preserve">generative unlearning, continual learning, celebrity identity</t>
  </si>
  <si>
    <t xml:space="preserve">https://github.com/clear-nus/selective-amnesia</t>
  </si>
  <si>
    <t xml:space="preserve">https://arxiv.org/abs/2305.10120</t>
  </si>
  <si>
    <t xml:space="preserve">wenger2023</t>
  </si>
  <si>
    <t xml:space="preserve">SoK: Anti-Facial Recognition Technology</t>
  </si>
  <si>
    <t xml:space="preserve">Emily Wenger, Shawn Shan, Haitao Zheng, Ben Y. Zhao</t>
  </si>
  <si>
    <t xml:space="preserve">Systematises anti-facial recognition tools by which stage of the recognition pipeline they target: data collection, processing, training, or matching.</t>
  </si>
  <si>
    <t xml:space="preserve">Most tools target a single stage and are brittle to changes elsewhere; the authors, who built Fawkes, catalogue usability and durability problems frankly.</t>
  </si>
  <si>
    <t xml:space="preserve">Security-community perspective; less on template protection.</t>
  </si>
  <si>
    <t xml:space="preserve">systematisation, anti-facial recognition, pipeline</t>
  </si>
  <si>
    <t xml:space="preserve">https://arxiv.org/abs/2112.04558</t>
  </si>
  <si>
    <t xml:space="preserve">boutros2023survey</t>
  </si>
  <si>
    <t xml:space="preserve">Synthetic Data for Face Recognition: Current State and Future Prospects</t>
  </si>
  <si>
    <t xml:space="preserve">Fadi Boutros, Vitomir Štruc, Julian Fierrez, Naser Damer</t>
  </si>
  <si>
    <t xml:space="preserve">Image and Vision Computing</t>
  </si>
  <si>
    <t xml:space="preserve">Survey of synthetic face data for training and evaluation, covering generators, protocols and privacy claims.</t>
  </si>
  <si>
    <t xml:space="preserve">Set out the open questions: identity leakage from generators, diversity, and legal status of synthetic identities.</t>
  </si>
  <si>
    <t xml:space="preserve">Fast-moving area.</t>
  </si>
  <si>
    <t xml:space="preserve">survey, synthetic data</t>
  </si>
  <si>
    <t xml:space="preserve">https://arxiv.org/abs/2305.01021</t>
  </si>
  <si>
    <t xml:space="preserve">kurmanji2023</t>
  </si>
  <si>
    <t xml:space="preserve">Towards Unbounded Machine Unlearning</t>
  </si>
  <si>
    <t xml:space="preserve">Meghdad Kurmanji, Peter Triantafillou, Jamie Hayes, Eleni Triantafillou</t>
  </si>
  <si>
    <t xml:space="preserve">CIFAR-10, Lacuna-10 (VGGFace2 faces)</t>
  </si>
  <si>
    <t xml:space="preserve">ResNet-18, All-CNN</t>
  </si>
  <si>
    <t xml:space="preserve">SCRUB: a student unlearns by moving away from the teacher on the forget set while staying close on the retain set, with a rewinding step for privacy-motivated deletion.</t>
  </si>
  <si>
    <t xml:space="preserve">Strong across removing bias, resolving confusion and user privacy, measured with membership inference on face data.</t>
  </si>
  <si>
    <t xml:space="preserve">Deletion requests with different goals.</t>
  </si>
  <si>
    <t xml:space="preserve">Retained accuracy.</t>
  </si>
  <si>
    <t xml:space="preserve">Heuristic; evaluation via MIA proxies.</t>
  </si>
  <si>
    <t xml:space="preserve">SCRUB, teacher-student, evaluation</t>
  </si>
  <si>
    <t xml:space="preserve">https://github.com/meghdadk/SCRUB</t>
  </si>
  <si>
    <t xml:space="preserve">https://arxiv.org/abs/2302.09880</t>
  </si>
  <si>
    <t xml:space="preserve">ren2023tue</t>
  </si>
  <si>
    <t xml:space="preserve">Transferable Unlearnable Examples</t>
  </si>
  <si>
    <t xml:space="preserve">Jie Ren, Han Xu, Yuxuan Wan, Xingjun Ma, Lichao Sun, Jiliang Tang</t>
  </si>
  <si>
    <t xml:space="preserve">ResNet-18, VGG</t>
  </si>
  <si>
    <t xml:space="preserve">Class-wise separability discriminant that makes unlearnable noise transfer across training settings and datasets.</t>
  </si>
  <si>
    <t xml:space="preserve">Protection held when the protected data was mixed with other data or used in different training pipelines.</t>
  </si>
  <si>
    <t xml:space="preserve">Unauthorised training under unknown settings.</t>
  </si>
  <si>
    <t xml:space="preserve">Still a perturbation-based shortcut, vulnerable to squeezing.</t>
  </si>
  <si>
    <t xml:space="preserve">unlearnable examples, transferability, class-wise separability</t>
  </si>
  <si>
    <t xml:space="preserve">https://arxiv.org/abs/2210.10114</t>
  </si>
  <si>
    <t xml:space="preserve">zhang2023uc</t>
  </si>
  <si>
    <t xml:space="preserve">Unlearnable Clusters: Towards Label-Agnostic Unlearnable Examples</t>
  </si>
  <si>
    <t xml:space="preserve">Jiaming Zhang, Xingjun Ma, Qi Yi, Jitao Sang, Yu-Gang Jiang, Yaowei Wang, Changsheng Xu</t>
  </si>
  <si>
    <t xml:space="preserve">CIFAR-10, CIFAR-100, ImageNet subset, WebFace subset</t>
  </si>
  <si>
    <t xml:space="preserve">ResNet-18, VGG, DenseNet</t>
  </si>
  <si>
    <t xml:space="preserve">Generates cluster-wise perturbations without knowing the labels the exploiter will use, targeting the uniform-noise-to-cluster mapping.</t>
  </si>
  <si>
    <t xml:space="preserve">Worked when the attacker's label space differed from the protector's, unlike class-wise UEs.</t>
  </si>
  <si>
    <t xml:space="preserve">Unauthorised training with unknown labels.</t>
  </si>
  <si>
    <t xml:space="preserve">Same purification weaknesses.</t>
  </si>
  <si>
    <t xml:space="preserve">label-agnostic, clusters, unlearnable examples</t>
  </si>
  <si>
    <t xml:space="preserve">https://github.com/jiamingzhang94/Unlearnable-Clusters</t>
  </si>
  <si>
    <t xml:space="preserve">https://arxiv.org/abs/2301.01217</t>
  </si>
  <si>
    <t xml:space="preserve">hill2023</t>
  </si>
  <si>
    <t xml:space="preserve">Your Face Belongs to Us: A Secretive Startup's Quest to End Privacy as We Know It</t>
  </si>
  <si>
    <t xml:space="preserve">Kashmir Hill</t>
  </si>
  <si>
    <t xml:space="preserve">Random House (book)</t>
  </si>
  <si>
    <t xml:space="preserve">None</t>
  </si>
  <si>
    <t xml:space="preserve">Book-length account of Clearview AI and the history of face recognition from Bledsoe to the present.</t>
  </si>
  <si>
    <t xml:space="preserve">The most complete public record of how a scraped face database became a police tool and how regulators responded.</t>
  </si>
  <si>
    <t xml:space="preserve">Mass identification.</t>
  </si>
  <si>
    <t xml:space="preserve">Journalism.</t>
  </si>
  <si>
    <t xml:space="preserve">Clearview AI, history, journalism</t>
  </si>
  <si>
    <t xml:space="preserve">https://www.penguinrandomhouse.com/books/705578/your-face-belongs-to-us-by-kashmir-hill/</t>
  </si>
  <si>
    <t xml:space="preserve">chundawat2023b</t>
  </si>
  <si>
    <t xml:space="preserve">Zero-Shot Machine Unlearning</t>
  </si>
  <si>
    <t xml:space="preserve">MNIST, CIFAR-10, CIFAR-100</t>
  </si>
  <si>
    <t xml:space="preserve">Unlearns without access to any original training data via error-minimising noise and gated knowledge transfer.</t>
  </si>
  <si>
    <t xml:space="preserve">Forgetting when the training data is gone, the realistic case for deployed face models.</t>
  </si>
  <si>
    <t xml:space="preserve">Deletion requests after data has been deleted.</t>
  </si>
  <si>
    <t xml:space="preserve">Weaker forgetting than data-available methods.</t>
  </si>
  <si>
    <t xml:space="preserve">zero-shot, no training data</t>
  </si>
  <si>
    <t xml:space="preserve">https://arxiv.org/abs/2201.05629</t>
  </si>
  <si>
    <t xml:space="preserve">nguyen2022</t>
  </si>
  <si>
    <t xml:space="preserve">A Survey of Machine Unlearning</t>
  </si>
  <si>
    <t xml:space="preserve">Thanh Tam Nguyen, Thanh Trung Huynh, Phi Le Nguyen, Alan Wee-Chung Liew, Hongzhi Yin, Quoc Viet Hung Nguyen</t>
  </si>
  <si>
    <t xml:space="preserve">Survey of unlearning definitions, exact and approximate methods, verification and datasets.</t>
  </si>
  <si>
    <t xml:space="preserve">The most-cited map of the field; documents the lack of standard verification.</t>
  </si>
  <si>
    <t xml:space="preserve">Fast-moving field.</t>
  </si>
  <si>
    <t xml:space="preserve">survey, machine unlearning</t>
  </si>
  <si>
    <t xml:space="preserve">https://github.com/tamlhp/awesome-machine-unlearning</t>
  </si>
  <si>
    <t xml:space="preserve">https://arxiv.org/abs/2209.02299</t>
  </si>
  <si>
    <t xml:space="preserve">zolfi2022</t>
  </si>
  <si>
    <t xml:space="preserve">Adversarial Mask: Real-World Universal Adversarial Attack on Face Recognition Models</t>
  </si>
  <si>
    <t xml:space="preserve">Alon Zolfi, Shai Avidan, Yuval Elovici, Asaf Shabtai</t>
  </si>
  <si>
    <t xml:space="preserve">ECML PKDD</t>
  </si>
  <si>
    <t xml:space="preserve">Own collected videos; CASIA-WebFace</t>
  </si>
  <si>
    <t xml:space="preserve">ArcFace, CosFace, FaceNet, MagFace</t>
  </si>
  <si>
    <t xml:space="preserve">A single printed fabric mask pattern that makes many wearers unrecognisable to face recognition models.</t>
  </si>
  <si>
    <t xml:space="preserve">Universal dodging in physical tests; transferable to unseen models.</t>
  </si>
  <si>
    <t xml:space="preserve">Physical recognition in masked settings.</t>
  </si>
  <si>
    <t xml:space="preserve">A patterned face mask.</t>
  </si>
  <si>
    <t xml:space="preserve">Mask-aware retraining reduces effect.</t>
  </si>
  <si>
    <t xml:space="preserve">universal, fabric mask, physical</t>
  </si>
  <si>
    <t xml:space="preserve">https://github.com/AlonZolfi/AdversarialMask</t>
  </si>
  <si>
    <t xml:space="preserve">https://arxiv.org/abs/2111.10759</t>
  </si>
  <si>
    <t xml:space="preserve">wei2022</t>
  </si>
  <si>
    <t xml:space="preserve">Adversarial Sticker: A Stealthy Attack Method in the Physical World</t>
  </si>
  <si>
    <t xml:space="preserve">Xingxing Wei, Ying Guo, Jie Yu</t>
  </si>
  <si>
    <t xml:space="preserve">FaceNet, ArcFace, CosFace</t>
  </si>
  <si>
    <t xml:space="preserve">Places ordinary-looking stickers (cartoons, logos) on the face and optimises only their position and rotation for dodging or impersonation.</t>
  </si>
  <si>
    <t xml:space="preserve">Stealthy physical attacks without odd-looking patterns, transferable across recognisers.</t>
  </si>
  <si>
    <t xml:space="preserve">Physical recognition systems.</t>
  </si>
  <si>
    <t xml:space="preserve">Looks like a decorative sticker.</t>
  </si>
  <si>
    <t xml:space="preserve">Success depends on sticker inventory and camera geometry.</t>
  </si>
  <si>
    <t xml:space="preserve">physical, sticker, meaningful patterns</t>
  </si>
  <si>
    <t xml:space="preserve">https://github.com/jinyugy21/Adv-Stickers_RHDE</t>
  </si>
  <si>
    <t xml:space="preserve">https://arxiv.org/abs/2104.06728</t>
  </si>
  <si>
    <t xml:space="preserve">osorio2022</t>
  </si>
  <si>
    <t xml:space="preserve">An Attack on Facial Soft-Biometric Privacy Enhancement</t>
  </si>
  <si>
    <t xml:space="preserve">Dailé Osorio-Roig, Christian Rathgeb, Pawel Drozdowski, Philipp Terhörst, Vitomir Štruc, Christoph Busch</t>
  </si>
  <si>
    <t xml:space="preserve">IEEE TBIOM</t>
  </si>
  <si>
    <t xml:space="preserve">Biometrics</t>
  </si>
  <si>
    <t xml:space="preserve">ArcFace; PE-MIU, IVE and other privacy enhancers</t>
  </si>
  <si>
    <t xml:space="preserve">Recovers suppressed attributes from privacy-enhanced templates by comparing them with a small annotated database, exploiting that similar templates share attributes.</t>
  </si>
  <si>
    <t xml:space="preserve">Attribute prediction well above chance against several soft-biometric privacy methods, using only black-box access.</t>
  </si>
  <si>
    <t xml:space="preserve">Attacker with privacy-enhanced templates.</t>
  </si>
  <si>
    <t xml:space="preserve">Needs an annotated reference set.</t>
  </si>
  <si>
    <t xml:space="preserve">soft biometrics, attribute recovery, black-box</t>
  </si>
  <si>
    <t xml:space="preserve">https://arxiv.org/abs/2111.12405</t>
  </si>
  <si>
    <t xml:space="preserve">sandoval2022</t>
  </si>
  <si>
    <t xml:space="preserve">Autoregressive Perturbations for Data Poisoning</t>
  </si>
  <si>
    <t xml:space="preserve">Pedro Sandoval-Segura, Vasu Singla, Jonas Geiping, Micah Goldblum, Tom Goldstein, David W. Jacobs</t>
  </si>
  <si>
    <t xml:space="preserve">CIFAR-10, CIFAR-100, SVHN, STL-10</t>
  </si>
  <si>
    <t xml:space="preserve">Generates poisoning perturbations from autoregressive processes without access to any model or the rest of the dataset.</t>
  </si>
  <si>
    <t xml:space="preserve">Model-free noise transferred across architectures and matched optimisation-based poisons.</t>
  </si>
  <si>
    <t xml:space="preserve">Unauthorised training on released data.</t>
  </si>
  <si>
    <t xml:space="preserve">Removed by the same squeezing and purification defenses.</t>
  </si>
  <si>
    <t xml:space="preserve">availability poisoning, model-free, autoregressive</t>
  </si>
  <si>
    <t xml:space="preserve">https://github.com/psandovalsegura/autoregressive-poisoning</t>
  </si>
  <si>
    <t xml:space="preserve">https://arxiv.org/abs/2206.03693</t>
  </si>
  <si>
    <t xml:space="preserve">yu2022</t>
  </si>
  <si>
    <t xml:space="preserve">Availability Attacks Create Shortcuts</t>
  </si>
  <si>
    <t xml:space="preserve">Da Yu, Huishuai Zhang, Wei Chen, Jian Yin, Tie-Yan Liu</t>
  </si>
  <si>
    <t xml:space="preserve">ACM KDD</t>
  </si>
  <si>
    <t xml:space="preserve">Explains availability poisons as learnable shortcuts and shows that simple synthetic, linearly separable noise works as well as optimised noise.</t>
  </si>
  <si>
    <t xml:space="preserve">Random linearly separable perturbations made data unlearnable without any model in the loop, revealing why such attacks are also easy to remove.</t>
  </si>
  <si>
    <t xml:space="preserve">Shortcuts are removed by augmentation or compression.</t>
  </si>
  <si>
    <t xml:space="preserve">shortcut learning, synthetic noise, analysis</t>
  </si>
  <si>
    <t xml:space="preserve">https://github.com/dayu11/Availability-Attacks-Create-Shortcuts</t>
  </si>
  <si>
    <t xml:space="preserve">https://arxiv.org/abs/2111.00898</t>
  </si>
  <si>
    <t xml:space="preserve">radiya2022</t>
  </si>
  <si>
    <t xml:space="preserve">Data Poisoning Won't Save You From Facial Recognition</t>
  </si>
  <si>
    <t xml:space="preserve">Evani Radiya-Dixit, Sanghyun Hong, Nicholas Carlini, Florian Tramèr</t>
  </si>
  <si>
    <t xml:space="preserve">FaceScrub, PubFig</t>
  </si>
  <si>
    <t xml:space="preserve">Fawkes and LowKey; ArcFace, MagFace, CLIP-era extractors</t>
  </si>
  <si>
    <t xml:space="preserve">Evaluates cloaking as a defense under two attackers: an adaptive one that trains against the cloak, and an oblivious one that simply waits for better models.</t>
  </si>
  <si>
    <t xml:space="preserve">Both attackers defeated Fawkes and LowKey; pictures perturbed once must fool every future model, an asymmetry the defender cannot win. Called cloaking a false sense of security.</t>
  </si>
  <si>
    <t xml:space="preserve">Recognisers trained on scraped, cloaked photos.</t>
  </si>
  <si>
    <t xml:space="preserve">Does not address physical or per-query protection.</t>
  </si>
  <si>
    <t xml:space="preserve">Fawkes, LowKey, adaptive, oblivious</t>
  </si>
  <si>
    <t xml:space="preserve">https://github.com/ftramer/FaceCure</t>
  </si>
  <si>
    <t xml:space="preserve">https://arxiv.org/abs/2106.14851</t>
  </si>
  <si>
    <t xml:space="preserve">rathgeb2022</t>
  </si>
  <si>
    <t xml:space="preserve">Deep Face Fuzzy Vault: Implementation and Performance</t>
  </si>
  <si>
    <t xml:space="preserve">Christian Rathgeb, Johannes Merkle, Johanna Scholz, Benjamin Tams, Vanessa Nesterowicz</t>
  </si>
  <si>
    <t xml:space="preserve">Computers &amp; Security</t>
  </si>
  <si>
    <t xml:space="preserve">FERET, FRGCv2</t>
  </si>
  <si>
    <t xml:space="preserve">ArcFace; improved fuzzy vault</t>
  </si>
  <si>
    <t xml:space="preserve">Maps real-valued deep features to integer sets and protects them with the improved fuzzy vault scheme.</t>
  </si>
  <si>
    <t xml:space="preserve">FNMR below 1% at FMR 0.01% in cross-database tests on FERET and FRGCv2, with unlinkability.</t>
  </si>
  <si>
    <t xml:space="preserve">Template theft.</t>
  </si>
  <si>
    <t xml:space="preserve">Verification accuracy close to unprotected.</t>
  </si>
  <si>
    <t xml:space="preserve">Security depends on feature entropy; attacks on fuzzy vaults with auxiliary data remain.</t>
  </si>
  <si>
    <t xml:space="preserve">fuzzy vault, ArcFace, unlinkable</t>
  </si>
  <si>
    <t xml:space="preserve">https://arxiv.org/abs/2102.02458</t>
  </si>
  <si>
    <t xml:space="preserve">croft2022</t>
  </si>
  <si>
    <t xml:space="preserve">Differentially Private Facial Obfuscation via Generative Adversarial Networks</t>
  </si>
  <si>
    <t xml:space="preserve">William Croft, Jörg-Rüdiger Sack, Wei Shi</t>
  </si>
  <si>
    <t xml:space="preserve">Future Generation Computer Systems</t>
  </si>
  <si>
    <t xml:space="preserve">CelebA</t>
  </si>
  <si>
    <t xml:space="preserve">GAN with PCA-steered latent noise</t>
  </si>
  <si>
    <t xml:space="preserve">Applies differential privacy to the latent encoding of a GAN, using PCA to steer noise into identity-relevant directions.</t>
  </si>
  <si>
    <t xml:space="preserve">Photo-realistic obfuscated faces with a formal privacy budget and measurable utility trade-off.</t>
  </si>
  <si>
    <t xml:space="preserve">Identity inference from the released image.</t>
  </si>
  <si>
    <t xml:space="preserve">Visual realism and downstream attribute utility.</t>
  </si>
  <si>
    <t xml:space="preserve">Privacy is defined over encodings, not faces; interpretation of epsilon remains hard.</t>
  </si>
  <si>
    <t xml:space="preserve">differential privacy, GAN, obfuscation</t>
  </si>
  <si>
    <t xml:space="preserve">https://doi.org/10.1016/j.future.2021.11.032</t>
  </si>
  <si>
    <t xml:space="preserve">mi2022</t>
  </si>
  <si>
    <t xml:space="preserve">DuetFace: Collaborative Privacy-Preserving Face Recognition via Channel Splitting in the Frequency Domain</t>
  </si>
  <si>
    <t xml:space="preserve">Yuxi Mi, Yuge Huang, Jiazhen Ji, Hongquan Liu, Xingkun Xu, Shouhong Ding, Shuigeng Zhou</t>
  </si>
  <si>
    <t xml:space="preserve">Split ResNet client/server</t>
  </si>
  <si>
    <t xml:space="preserve">Splits frequency channels by energy: the client keeps the visually crucial low-frequency part, the server runs on the rest, with an attention-transfer block between them.</t>
  </si>
  <si>
    <t xml:space="preserve">Recognition close to baseline with the server seeing only visually indistinguishable high-frequency channels.</t>
  </si>
  <si>
    <t xml:space="preserve">Untrusted inference server.</t>
  </si>
  <si>
    <t xml:space="preserve">Client compute required; partial reconstruction risk.</t>
  </si>
  <si>
    <t xml:space="preserve">split inference, frequency, client-server</t>
  </si>
  <si>
    <t xml:space="preserve">https://arxiv.org/abs/2207.07340</t>
  </si>
  <si>
    <t xml:space="preserve">liu2022fedfr</t>
  </si>
  <si>
    <t xml:space="preserve">FedFR: Joint Optimization Federated Framework for Generic and Personalized Face Recognition</t>
  </si>
  <si>
    <t xml:space="preserve">Chih-Ting Liu, Chien-Yi Wang, Shao-Yi Chien, Shang-Hong Lai</t>
  </si>
  <si>
    <t xml:space="preserve">MS1M-RetinaFace (pretrain); VGGFace2 clients; IJB-C</t>
  </si>
  <si>
    <t xml:space="preserve">ResNet-50</t>
  </si>
  <si>
    <t xml:space="preserve">Jointly improves a generic model and per-client personalised models with a decoupled feature customisation module.</t>
  </si>
  <si>
    <t xml:space="preserve">Outperformed prior federated face recognition on generic and personalised benchmarks; released a benchmark.</t>
  </si>
  <si>
    <t xml:space="preserve">Central collection of face data.</t>
  </si>
  <si>
    <t xml:space="preserve">Server still sees model updates.</t>
  </si>
  <si>
    <t xml:space="preserve">federated learning, personalisation</t>
  </si>
  <si>
    <t xml:space="preserve">https://github.com/jackie840129/FedFR</t>
  </si>
  <si>
    <t xml:space="preserve">https://arxiv.org/abs/2112.12496</t>
  </si>
  <si>
    <t xml:space="preserve">niu2022</t>
  </si>
  <si>
    <t xml:space="preserve">Federated Learning for Face Recognition with Gradient Correction</t>
  </si>
  <si>
    <t xml:space="preserve">Yifan Niu, Weihong Deng</t>
  </si>
  <si>
    <t xml:space="preserve">MS1M, CASIA-WebFace; LFW, CFP, AgeDB, IJB</t>
  </si>
  <si>
    <t xml:space="preserve">FedGC corrects class-embedding gradients so that softmax-based training works when classes are split across clients.</t>
  </si>
  <si>
    <t xml:space="preserve">Closed much of the gap to centralised training in the federated face setting.</t>
  </si>
  <si>
    <t xml:space="preserve">Model updates can leak; no DP.</t>
  </si>
  <si>
    <t xml:space="preserve">federated learning, gradient correction</t>
  </si>
  <si>
    <t xml:space="preserve">https://arxiv.org/abs/2112.07246</t>
  </si>
  <si>
    <t xml:space="preserve">engelsma2022</t>
  </si>
  <si>
    <t xml:space="preserve">HERS: Homomorphically Encrypted Representation Search</t>
  </si>
  <si>
    <t xml:space="preserve">Joshua J. Engelsma, Anil K. Jain, Vishnu Naresh Boddeti</t>
  </si>
  <si>
    <t xml:space="preserve">LFW, IJB-C, MegaFace-scale gallery, ImageNet</t>
  </si>
  <si>
    <t xml:space="preserve">ArcFace features; FHE search</t>
  </si>
  <si>
    <t xml:space="preserve">Compresses representations toward their intrinsic dimensionality, encrypts them with FHE, and searches a gallery in the encrypted domain.</t>
  </si>
  <si>
    <t xml:space="preserve">Search against a 100 million gallery in about 500 seconds, a 275× speed-up over prior encrypted search, with little accuracy loss.</t>
  </si>
  <si>
    <t xml:space="preserve">Server learning probes or gallery.</t>
  </si>
  <si>
    <t xml:space="preserve">Identification accuracy preserved.</t>
  </si>
  <si>
    <t xml:space="preserve">Still far slower than plaintext search; key management.</t>
  </si>
  <si>
    <t xml:space="preserve">FHE, 1:N search, compression</t>
  </si>
  <si>
    <t xml:space="preserve">https://github.com/human-analysis/hers-encrypted-image-search</t>
  </si>
  <si>
    <t xml:space="preserve">https://arxiv.org/abs/2003.12197</t>
  </si>
  <si>
    <t xml:space="preserve">shahreza2022hybrid</t>
  </si>
  <si>
    <t xml:space="preserve">Hybrid Protection of Biometric Templates by Combining Homomorphic Encryption and Cancelable Biometrics</t>
  </si>
  <si>
    <t xml:space="preserve">IJCB</t>
  </si>
  <si>
    <t xml:space="preserve">ArcFace; PolyProtect; CKKS HE</t>
  </si>
  <si>
    <t xml:space="preserve">Applies a cancelable transform and then homomorphic encryption so a compromised key or a decrypted template each remains protected by the other layer.</t>
  </si>
  <si>
    <t xml:space="preserve">Defense in depth with recognition accuracy preserved and revocability retained.</t>
  </si>
  <si>
    <t xml:space="preserve">Template theft and key compromise.</t>
  </si>
  <si>
    <t xml:space="preserve">Verification accuracy.</t>
  </si>
  <si>
    <t xml:space="preserve">Combined computational cost.</t>
  </si>
  <si>
    <t xml:space="preserve">hybrid, homomorphic encryption, cancelable</t>
  </si>
  <si>
    <t xml:space="preserve">https://doi.org/10.1109/IJCB54206.2022.10007960</t>
  </si>
  <si>
    <t xml:space="preserve">iso24745</t>
  </si>
  <si>
    <t xml:space="preserve">ISO/IEC 24745:2022 Information security, cybersecurity and privacy protection: Biometric information protection</t>
  </si>
  <si>
    <t xml:space="preserve">ISO/IEC JTC 1/SC 27</t>
  </si>
  <si>
    <t xml:space="preserve">International standard</t>
  </si>
  <si>
    <t xml:space="preserve">None (standard)</t>
  </si>
  <si>
    <t xml:space="preserve">Specifies requirements for protected biometric references: irreversibility, unlinkability and renewability, plus architectures for storage and comparison.</t>
  </si>
  <si>
    <t xml:space="preserve">The reference definitions used by template protection papers and by regulators assessing biometric systems.</t>
  </si>
  <si>
    <t xml:space="preserve">Compromise of stored references.</t>
  </si>
  <si>
    <t xml:space="preserve">Sets requirements, not methods; compliance testing is immature.</t>
  </si>
  <si>
    <t xml:space="preserve">standard, irreversibility, unlinkability, renewability</t>
  </si>
  <si>
    <t xml:space="preserve">https://www.iso.org/standard/75302.html</t>
  </si>
  <si>
    <t xml:space="preserve">wen2022</t>
  </si>
  <si>
    <t xml:space="preserve">IdentityDP: Differential Private Identification Protection for Face Images</t>
  </si>
  <si>
    <t xml:space="preserve">Yunqian Wen, Bo Liu, Ming Ding, Rong Xie, Li Song</t>
  </si>
  <si>
    <t xml:space="preserve">Neurocomputing</t>
  </si>
  <si>
    <t xml:space="preserve">Disentangled encoder-decoder; ArcFace and FaceNet for evaluation</t>
  </si>
  <si>
    <t xml:space="preserve">Disentangles an identity representation, perturbs it with an epsilon-calibrated mechanism, and reconstructs the image.</t>
  </si>
  <si>
    <t xml:space="preserve">Privacy budget directly tunes the identity change; high visual similarity and utility for identity-agnostic tasks.</t>
  </si>
  <si>
    <t xml:space="preserve">Identity inference from released images.</t>
  </si>
  <si>
    <t xml:space="preserve">Attributes, expression, image quality.</t>
  </si>
  <si>
    <t xml:space="preserve">DP applies to the latent, so the guarantee on the image is indirect.</t>
  </si>
  <si>
    <t xml:space="preserve">differential privacy, disentanglement, GAN</t>
  </si>
  <si>
    <t xml:space="preserve">https://arxiv.org/abs/2103.01745</t>
  </si>
  <si>
    <t xml:space="preserve">zhong2022</t>
  </si>
  <si>
    <t xml:space="preserve">OPOM: Customized Invisible Cloak towards Face Privacy Protection</t>
  </si>
  <si>
    <t xml:space="preserve">Yaoyao Zhong, Weihong Deng</t>
  </si>
  <si>
    <t xml:space="preserve">Privacy-Commons (released), LFW, CelebA</t>
  </si>
  <si>
    <t xml:space="preserve">ArcFace, CosFace, SphereFace, MobileFace and others</t>
  </si>
  <si>
    <t xml:space="preserve">One Person One Mask: a single universal perturbation per person, optimised away from that person's feature subspace modelled by affine hulls, class centres or convex hulls.</t>
  </si>
  <si>
    <t xml:space="preserve">One mask protected all of a user's images against multiple recognisers; released the Privacy-Commons dataset.</t>
  </si>
  <si>
    <t xml:space="preserve">Unauthorised recognisers on a user's photo collection.</t>
  </si>
  <si>
    <t xml:space="preserve">Small perturbation reused across photos.</t>
  </si>
  <si>
    <t xml:space="preserve">Static perturbation; vulnerable to adaptive models like other cloaks.</t>
  </si>
  <si>
    <t xml:space="preserve">universal mask, person-specific, feature subspace</t>
  </si>
  <si>
    <t xml:space="preserve">https://github.com/zhongyy/OPOM</t>
  </si>
  <si>
    <t xml:space="preserve">https://arxiv.org/abs/2205.11981</t>
  </si>
  <si>
    <t xml:space="preserve">wang2022freq</t>
  </si>
  <si>
    <t xml:space="preserve">Privacy-Preserving Face Recognition in the Frequency Domain</t>
  </si>
  <si>
    <t xml:space="preserve">Yinggui Wang, Jian Liu, Man Luo, Le Yang, Li Wang</t>
  </si>
  <si>
    <t xml:space="preserve">CASIA-WebFace (train); LFW, CFP-FP, AgeDB, IJB-B, IJB-C</t>
  </si>
  <si>
    <t xml:space="preserve">ArcFace-style ResNet on block-DCT channels</t>
  </si>
  <si>
    <t xml:space="preserve">Converts faces to block-DCT component channels and trains an analysis network to drop channels crucial for visualisation but not for recognition.</t>
  </si>
  <si>
    <t xml:space="preserve">Recognition accuracy close to baseline while the transmitted data is visually uninformative.</t>
  </si>
  <si>
    <t xml:space="preserve">Server or eavesdropper seeing the query image.</t>
  </si>
  <si>
    <t xml:space="preserve">Reconstruction from retained channels partly possible; not a cryptographic guarantee.</t>
  </si>
  <si>
    <t xml:space="preserve">frequency domain, channel pruning, interpretable</t>
  </si>
  <si>
    <t xml:space="preserve">https://doi.org/10.1609/aaai.v36i3.20157</t>
  </si>
  <si>
    <t xml:space="preserve">ji2022</t>
  </si>
  <si>
    <t xml:space="preserve">Privacy-Preserving Face Recognition with Learnable Privacy Budgets in Frequency Domain</t>
  </si>
  <si>
    <t xml:space="preserve">Jiazhen Ji, Huan Wang, Yuge Huang, Jiaxiang Wu, Xingkun Xu, Shouhong Ding, ShengChuan Zhang, Liujuan Cao, Rongrong Ji</t>
  </si>
  <si>
    <t xml:space="preserve">ArcFace-style ResNet with learnable channel noise</t>
  </si>
  <si>
    <t xml:space="preserve">Adds learnable, differential-privacy-style noise per frequency channel so the model itself decides where privacy budget is spent.</t>
  </si>
  <si>
    <t xml:space="preserve">Better privacy-accuracy trade-off than fixed channel dropping.</t>
  </si>
  <si>
    <t xml:space="preserve">Server seeing query images.</t>
  </si>
  <si>
    <t xml:space="preserve">The DP framing is loose; reconstruction attacks possible.</t>
  </si>
  <si>
    <t xml:space="preserve">frequency domain, privacy budget, noise</t>
  </si>
  <si>
    <t xml:space="preserve">https://arxiv.org/abs/2207.07316</t>
  </si>
  <si>
    <t xml:space="preserve">hu2022</t>
  </si>
  <si>
    <t xml:space="preserve">Protecting Facial Privacy: Generating Adversarial Identity Masks via Style-Robust Makeup Transfer</t>
  </si>
  <si>
    <t xml:space="preserve">Shengshan Hu, Xiaogeng Liu, Yechao Zhang, Minghui Li, Leo Yu Zhang, Hai Jin, Libing Wu</t>
  </si>
  <si>
    <t xml:space="preserve">CelebA-HQ, LADN, MT makeup sets</t>
  </si>
  <si>
    <t xml:space="preserve">IR152, IRSE50, FaceNet, MobileFace; Face++, Aliyun, Microsoft</t>
  </si>
  <si>
    <t xml:space="preserve">GAN that transfers makeup from a reference while a regularisation module reconciles adversarial noise with cycle-consistency.</t>
  </si>
  <si>
    <t xml:space="preserve">Higher attack success against Face++, Aliyun and Microsoft than prior methods with better visual quality.</t>
  </si>
  <si>
    <t xml:space="preserve">Commercial black-box recognisers.</t>
  </si>
  <si>
    <t xml:space="preserve">Makeup must be plausible on the face; identity leakage under adaptive models untested.</t>
  </si>
  <si>
    <t xml:space="preserve">AMT-GAN, makeup transfer, black-box</t>
  </si>
  <si>
    <t xml:space="preserve">https://github.com/CGCL-codes/AMT-GAN</t>
  </si>
  <si>
    <t xml:space="preserve">https://arxiv.org/abs/2203.03121</t>
  </si>
  <si>
    <t xml:space="preserve">fu2022</t>
  </si>
  <si>
    <t xml:space="preserve">Robust Unlearnable Examples: Protecting Data Against Adversarial Learning</t>
  </si>
  <si>
    <t xml:space="preserve">Shaopeng Fu, Fengxiang He, Yang Liu, Li Shen, Dacheng Tao</t>
  </si>
  <si>
    <t xml:space="preserve">ResNet-18, WideResNet</t>
  </si>
  <si>
    <t xml:space="preserve">Robust error-minimising noise generated against an adversarially trained learner so that adversarial training no longer recovers accuracy.</t>
  </si>
  <si>
    <t xml:space="preserve">Held test accuracy low even under adversarial training, where standard unlearnable examples failed.</t>
  </si>
  <si>
    <t xml:space="preserve">Trainers who adversarially train to defeat unlearnable noise.</t>
  </si>
  <si>
    <t xml:space="preserve">Small perturbation budget.</t>
  </si>
  <si>
    <t xml:space="preserve">Larger perturbation than plain UEs; defeated by compression-based squeezing.</t>
  </si>
  <si>
    <t xml:space="preserve">unlearnable examples, adversarial training, min-min-max</t>
  </si>
  <si>
    <t xml:space="preserve">https://github.com/fshp971/robust-unlearnable-examples</t>
  </si>
  <si>
    <t xml:space="preserve">https://arxiv.org/abs/2203.14533</t>
  </si>
  <si>
    <t xml:space="preserve">boutros2022</t>
  </si>
  <si>
    <t xml:space="preserve">SFace: Privacy-friendly and Accurate Face Recognition using Synthetic Data</t>
  </si>
  <si>
    <t xml:space="preserve">Fadi Boutros, Marco Huber, Patrick Siebke, Tim Rieber, Naser Damer</t>
  </si>
  <si>
    <t xml:space="preserve">CASIA-WebFace (generator); LFW, AgeDB-30, CFP-FP, CA-LFW, CP-LFW</t>
  </si>
  <si>
    <t xml:space="preserve">StyleGAN2-ADA; ResNet-50</t>
  </si>
  <si>
    <t xml:space="preserve">Class-conditional StyleGAN generates identities; recognisers trained on them with several training strategies.</t>
  </si>
  <si>
    <t xml:space="preserve">Competitive accuracy from synthetic training and an analysis of identity leakage from the generator's real training set.</t>
  </si>
  <si>
    <t xml:space="preserve">Use of scraped real identities for training.</t>
  </si>
  <si>
    <t xml:space="preserve">Generator trained on real faces; some leakage.</t>
  </si>
  <si>
    <t xml:space="preserve">synthetic data, StyleGAN, class-conditional</t>
  </si>
  <si>
    <t xml:space="preserve">https://github.com/fdbtrs/SFace-Privacy-friendly-and-Accurate-Face-Recognition-using-Synthetic-Data</t>
  </si>
  <si>
    <t xml:space="preserve">https://arxiv.org/abs/2206.10520</t>
  </si>
  <si>
    <t xml:space="preserve">hahn2022</t>
  </si>
  <si>
    <t xml:space="preserve">Towards Protecting Face Embeddings in Mobile Face Verification Scenarios</t>
  </si>
  <si>
    <t xml:space="preserve">Open-source deep embeddings (FaceNet-class); PolyProtect</t>
  </si>
  <si>
    <t xml:space="preserve">PolyProtect maps an embedding through multivariate polynomials with user-specific coefficients and exponents.</t>
  </si>
  <si>
    <t xml:space="preserve">Tunable trade-off between accuracy and irreversibility; templates unlinkable when parameters are chosen non-naively.</t>
  </si>
  <si>
    <t xml:space="preserve">Template theft on device or server.</t>
  </si>
  <si>
    <t xml:space="preserve">Verification accuracy near baseline.</t>
  </si>
  <si>
    <t xml:space="preserve">Inversion partially possible under some parameter choices; addressed in 2026 follow-up.</t>
  </si>
  <si>
    <t xml:space="preserve">PolyProtect, polynomial, cancelable</t>
  </si>
  <si>
    <t xml:space="preserve">https://technology.idiap.ch/technologies/biometrics/polyprotect/</t>
  </si>
  <si>
    <t xml:space="preserve">https://arxiv.org/abs/2110.00434</t>
  </si>
  <si>
    <t xml:space="preserve">cilloni2022</t>
  </si>
  <si>
    <t xml:space="preserve">Ulixes: Facial Recognition Privacy with Adversarial Machine Learning</t>
  </si>
  <si>
    <t xml:space="preserve">Thomas Cilloni, Wei Wang, Charles Walter, Charles Fleming</t>
  </si>
  <si>
    <t xml:space="preserve">LFW, VGGFace2</t>
  </si>
  <si>
    <t xml:space="preserve">FaceNet, VGGFace, ArcFace; commercial APIs</t>
  </si>
  <si>
    <t xml:space="preserve">Perturbs uploaded photos to push their embeddings away from the user's cluster so recognisers cannot associate them.</t>
  </si>
  <si>
    <t xml:space="preserve">Reduced recognition across several open and commercial models with small perturbations.</t>
  </si>
  <si>
    <t xml:space="preserve">Recognisers indexing social-media photos.</t>
  </si>
  <si>
    <t xml:space="preserve">Same static-perturbation asymmetry as Fawkes and LowKey.</t>
  </si>
  <si>
    <t xml:space="preserve">cloaking, embedding attack, transfer</t>
  </si>
  <si>
    <t xml:space="preserve">https://doi.org/10.2478/popets-2022-0008</t>
  </si>
  <si>
    <t xml:space="preserve">raji2021</t>
  </si>
  <si>
    <t xml:space="preserve">About Face: A Survey of Facial Recognition Evaluation</t>
  </si>
  <si>
    <t xml:space="preserve">Inioluwa Deborah Raji, Genevieve Fried</t>
  </si>
  <si>
    <t xml:space="preserve">arXiv preprint (AAAI 2020 workshop)</t>
  </si>
  <si>
    <t xml:space="preserve">130+ face datasets reviewed</t>
  </si>
  <si>
    <t xml:space="preserve">Reviews over 100 face datasets from 1976 to 2019 and how evaluation practice shifted from consented lab data to scraped web data.</t>
  </si>
  <si>
    <t xml:space="preserve">Traced the move to web scraping to the demands of deep learning, and the collapse of consent as a norm.</t>
  </si>
  <si>
    <t xml:space="preserve">Descriptive.</t>
  </si>
  <si>
    <t xml:space="preserve">datasets, evaluation, history</t>
  </si>
  <si>
    <t xml:space="preserve">https://arxiv.org/abs/2102.00813</t>
  </si>
  <si>
    <t xml:space="preserve">yin2021</t>
  </si>
  <si>
    <t xml:space="preserve">Adv-Makeup: A New Imperceptible and Transferable Attack on Face Recognition</t>
  </si>
  <si>
    <t xml:space="preserve">Bangjie Yin, Wenxuan Wang, Taiping Yao, Junfeng Guo, Zelun Kong, Shouhong Ding, Jilin Li, Cong Liu</t>
  </si>
  <si>
    <t xml:space="preserve">IJCAI</t>
  </si>
  <si>
    <t xml:space="preserve">IR152, IRSE50, FaceNet, MobileFace</t>
  </si>
  <si>
    <t xml:space="preserve">Synthesises adversarial eye-shadow makeup with a blending module and meta-learning across models for transferability.</t>
  </si>
  <si>
    <t xml:space="preserve">Impersonation transferred to unseen models and worked when physically applied.</t>
  </si>
  <si>
    <t xml:space="preserve">Black-box recognisers, physical and digital.</t>
  </si>
  <si>
    <t xml:space="preserve">Looks like makeup.</t>
  </si>
  <si>
    <t xml:space="preserve">Region-limited; impersonation framing rather than privacy.</t>
  </si>
  <si>
    <t xml:space="preserve">makeup, eye shadow, physical</t>
  </si>
  <si>
    <t xml:space="preserve">https://github.com/TencentYoutuResearch/Adv-Makeup</t>
  </si>
  <si>
    <t xml:space="preserve">https://arxiv.org/abs/2105.03162</t>
  </si>
  <si>
    <t xml:space="preserve">fowl2021</t>
  </si>
  <si>
    <t xml:space="preserve">Adversarial Examples Make Strong Poisons</t>
  </si>
  <si>
    <t xml:space="preserve">Liam Fowl, Micah Goldblum, Ping-yeh Chiang, Jonas Geiping, Wojciech Czaja, Tom Goldstein</t>
  </si>
  <si>
    <t xml:space="preserve">CIFAR-10, ImageNet</t>
  </si>
  <si>
    <t xml:space="preserve">ResNet-18, VGG, MobileNet</t>
  </si>
  <si>
    <t xml:space="preserve">Shows that ordinary adversarial examples, especially class-targeted ones, are strong availability poisons when used as training data.</t>
  </si>
  <si>
    <t xml:space="preserve">Training on adversarially perturbed data reduced clean accuracy more than prior poisoning methods on CIFAR-10 and ImageNet.</t>
  </si>
  <si>
    <t xml:space="preserve">Same fragility to adversarial training and purification as other availability poisons.</t>
  </si>
  <si>
    <t xml:space="preserve">availability poisoning, adversarial examples, targeted</t>
  </si>
  <si>
    <t xml:space="preserve">https://github.com/lhfowl/adversarial_poisons</t>
  </si>
  <si>
    <t xml:space="preserve">https://arxiv.org/abs/2106.10807</t>
  </si>
  <si>
    <t xml:space="preserve">liu2021dpimage</t>
  </si>
  <si>
    <t xml:space="preserve">DP-Image: Differential Privacy for Image Data in Feature Space</t>
  </si>
  <si>
    <t xml:space="preserve">Bo Liu, Ming Ding, Hanyu Xue, Tianqing Zhu, Dayong Ye, Li Song, Wanlei Zhou</t>
  </si>
  <si>
    <t xml:space="preserve">GAN inversion and generator</t>
  </si>
  <si>
    <t xml:space="preserve">Defines DP over image feature vectors, perturbs them and reconstructs through a generator so the guarantee applies to semantic content.</t>
  </si>
  <si>
    <t xml:space="preserve">Photo-realistic DP images with tunable identity protection, unlike pixel-level DP.</t>
  </si>
  <si>
    <t xml:space="preserve">High visual quality.</t>
  </si>
  <si>
    <t xml:space="preserve">Guarantee lives in feature space; preprint.</t>
  </si>
  <si>
    <t xml:space="preserve">feature-space DP, GAN inversion</t>
  </si>
  <si>
    <t xml:space="preserve">https://arxiv.org/abs/2103.07073</t>
  </si>
  <si>
    <t xml:space="preserve">harvey2021</t>
  </si>
  <si>
    <t xml:space="preserve">Exposing.ai (MegaPixels): Face Datasets and Their Provenance</t>
  </si>
  <si>
    <t xml:space="preserve">Adam Harvey, Jules LaPlace</t>
  </si>
  <si>
    <t xml:space="preserve">Investigative research project</t>
  </si>
  <si>
    <t xml:space="preserve">MS-Celeb-1M, MegaFace, Duke MTMC, Brainwash, others</t>
  </si>
  <si>
    <t xml:space="preserve">Traces the origins and downstream uses of face datasets built from Flickr, CCTV and scraped photos, and lets people check whether their Flickr photos were used.</t>
  </si>
  <si>
    <t xml:space="preserve">Led directly to the withdrawal of MS-Celeb-1M, Duke MTMC and Brainwash and to a public debate on consent in face research.</t>
  </si>
  <si>
    <t xml:space="preserve">Non-consensual inclusion in training data.</t>
  </si>
  <si>
    <t xml:space="preserve">Coverage limited to datasets with traceable sources.</t>
  </si>
  <si>
    <t xml:space="preserve">datasets, provenance, takedowns</t>
  </si>
  <si>
    <t xml:space="preserve">https://exposing.ai</t>
  </si>
  <si>
    <t xml:space="preserve">chandrasekaran2021</t>
  </si>
  <si>
    <t xml:space="preserve">Face-Off: Adversarial Face Obfuscation</t>
  </si>
  <si>
    <t xml:space="preserve">Varun Chandrasekaran, Chuhan Gao, Brian Tang, Kassem Fawaz, Somesh Jha, Suman Banerjee</t>
  </si>
  <si>
    <t xml:space="preserve">VGGFace2, LFW</t>
  </si>
  <si>
    <t xml:space="preserve">FaceNet, VGG-Face; Azure, Rekognition, Face++</t>
  </si>
  <si>
    <t xml:space="preserve">Metric-space adversarial perturbations against face embeddings, transferred to commercial APIs, with a user study on perceptibility.</t>
  </si>
  <si>
    <t xml:space="preserve">Defeated Azure, AWS Rekognition and Face++ matching at perturbation levels users found acceptable.</t>
  </si>
  <si>
    <t xml:space="preserve">Commercial face recognition services.</t>
  </si>
  <si>
    <t xml:space="preserve">User-rated acceptability.</t>
  </si>
  <si>
    <t xml:space="preserve">Static perturbations; subject to the same future-model problem as cloaks.</t>
  </si>
  <si>
    <t xml:space="preserve">commercial APIs, user study, perturbation</t>
  </si>
  <si>
    <t xml:space="preserve">https://github.com/wi-pi/face-off</t>
  </si>
  <si>
    <t xml:space="preserve">https://doi.org/10.2478/popets-2021-0032</t>
  </si>
  <si>
    <t xml:space="preserve">aggarwal2021</t>
  </si>
  <si>
    <t xml:space="preserve">FedFace: Collaborative Learning of Face Recognition Model</t>
  </si>
  <si>
    <t xml:space="preserve">Divyansh Aggarwal, Jiayu Zhou, Anil K. Jain</t>
  </si>
  <si>
    <t xml:space="preserve">CASIA-WebFace (pretrain); simulated clients; LFW, IJB-A</t>
  </si>
  <si>
    <t xml:space="preserve">CosFace/ArcFace ResNet</t>
  </si>
  <si>
    <t xml:space="preserve">Federated training where each client holds only its owner's face images; a spread-out regulariser keeps class embeddings separated without sharing them.</t>
  </si>
  <si>
    <t xml:space="preserve">Improved a pretrained recogniser using thousands of clients without any face image leaving a device.</t>
  </si>
  <si>
    <t xml:space="preserve">Central collection of face images for training.</t>
  </si>
  <si>
    <t xml:space="preserve">Recognition accuracy gains.</t>
  </si>
  <si>
    <t xml:space="preserve">Gradient leakage not fully analysed; slow convergence.</t>
  </si>
  <si>
    <t xml:space="preserve">federated learning, one identity per client</t>
  </si>
  <si>
    <t xml:space="preserve">https://arxiv.org/abs/2104.03008</t>
  </si>
  <si>
    <t xml:space="preserve">evtimov2021</t>
  </si>
  <si>
    <t xml:space="preserve">FoggySight: A Scheme for Facial Lookup Privacy</t>
  </si>
  <si>
    <t xml:space="preserve">Ivan Evtimov, Pascal Sturmfels, Tadayoshi Kohno</t>
  </si>
  <si>
    <t xml:space="preserve">VGGFace2, FaceScrub</t>
  </si>
  <si>
    <t xml:space="preserve">FaceNet</t>
  </si>
  <si>
    <t xml:space="preserve">Community protection: volunteers upload decoy photos crafted to sit near a protected person's embedding, so lookups return decoys instead of the person.</t>
  </si>
  <si>
    <t xml:space="preserve">Protected users even when their own photos were unmodified, by crowding the search space.</t>
  </si>
  <si>
    <t xml:space="preserve">Face search engines built from scraped photos.</t>
  </si>
  <si>
    <t xml:space="preserve">Users' own photos untouched.</t>
  </si>
  <si>
    <t xml:space="preserve">Needs many cooperating protectors; search engines can filter decoys.</t>
  </si>
  <si>
    <t xml:space="preserve">decoys, community, lookup privacy</t>
  </si>
  <si>
    <t xml:space="preserve">https://github.com/evtimovi/foggysight</t>
  </si>
  <si>
    <t xml:space="preserve">https://doi.org/10.2478/popets-2021-0044</t>
  </si>
  <si>
    <t xml:space="preserve">li2021mm</t>
  </si>
  <si>
    <t xml:space="preserve">Identity-Preserving Face Anonymization via Adaptively Facial Attributes Obfuscation</t>
  </si>
  <si>
    <t xml:space="preserve">Jingzhi Li, Lutong Han, Ruoyu Chen, Hua Zhang, Bing Han, Lili Wang, Xiaochun Cao</t>
  </si>
  <si>
    <t xml:space="preserve">Attribute-conditioned GAN; ArcFace for evaluation</t>
  </si>
  <si>
    <t xml:space="preserve">Adaptively obfuscates the facial attributes most relevant to identity while keeping the visual identity-independent attributes and detectability.</t>
  </si>
  <si>
    <t xml:space="preserve">Anonymised faces stayed natural and useful for detection while recognisers failed.</t>
  </si>
  <si>
    <t xml:space="preserve">Detectability and non-identity attributes.</t>
  </si>
  <si>
    <t xml:space="preserve">Attribute-level control leaks under adaptive recognisers.</t>
  </si>
  <si>
    <t xml:space="preserve">attribute obfuscation, identity-preserving, adaptive</t>
  </si>
  <si>
    <t xml:space="preserve">https://doi.org/10.1145/3474085.3475367</t>
  </si>
  <si>
    <t xml:space="preserve">xiao2021</t>
  </si>
  <si>
    <t xml:space="preserve">Improving Transferability of Adversarial Patches on Face Recognition with Generative Models</t>
  </si>
  <si>
    <t xml:space="preserve">Zihao Xiao, Xianfeng Gao, Chilin Fu, Yinpeng Dong, Wei Gao, Xiaolu Zhang, Jun Zhou, Jun Zhu</t>
  </si>
  <si>
    <t xml:space="preserve">ArcFace, CosFace, FaceNet; commercial APIs</t>
  </si>
  <si>
    <t xml:space="preserve">Optimises adversarial eyeglass patches on the manifold of a pretrained generator so they transfer to unseen recognisers.</t>
  </si>
  <si>
    <t xml:space="preserve">Higher black-box transfer against commercial APIs than pixel-space patches; physically realisable.</t>
  </si>
  <si>
    <t xml:space="preserve">Black-box and physical recognisers.</t>
  </si>
  <si>
    <t xml:space="preserve">Eyeglass-shaped patch.</t>
  </si>
  <si>
    <t xml:space="preserve">Conspicuous accessory.</t>
  </si>
  <si>
    <t xml:space="preserve">adversarial patch, transferability, GAN manifold</t>
  </si>
  <si>
    <t xml:space="preserve">https://arxiv.org/abs/2106.15058</t>
  </si>
  <si>
    <t xml:space="preserve">kim2021ironmask</t>
  </si>
  <si>
    <t xml:space="preserve">IronMask: Modular Architecture for Protecting Deep Face Template</t>
  </si>
  <si>
    <t xml:space="preserve">Sunpill Kim, Yunseong Jeong, Jinsu Kim, Jungkon Kim, Hyung Tae Lee, Jae Hong Seo</t>
  </si>
  <si>
    <t xml:space="preserve">LFW, CFP-FP, AgeDB</t>
  </si>
  <si>
    <t xml:space="preserve">ArcFace, CosFace</t>
  </si>
  <si>
    <t xml:space="preserve">A modular template protection built on a new fuzzy commitment for real-valued vectors on a hypersphere, matching the geometry of angular-margin face embeddings.</t>
  </si>
  <si>
    <t xml:space="preserve">Template protection for ArcFace and CosFace with small accuracy loss and formal security analysis.</t>
  </si>
  <si>
    <t xml:space="preserve">A 2024 probabilistic linear-regression attack showed weaknesses under repeated use.</t>
  </si>
  <si>
    <t xml:space="preserve">real-valued templates, secure sketch, hypersphere</t>
  </si>
  <si>
    <t xml:space="preserve">https://arxiv.org/abs/2104.02239</t>
  </si>
  <si>
    <t xml:space="preserve">carlini2021</t>
  </si>
  <si>
    <t xml:space="preserve">Is Private Learning Possible with Instance Encoding?</t>
  </si>
  <si>
    <t xml:space="preserve">Nicholas Carlini, Samuel Deng, Sanjam Garg, Somesh Jha, Saeed Mahloujifar, Mohammad Mahmoody, Abhradeep Thakurta, Florian Tramèr</t>
  </si>
  <si>
    <t xml:space="preserve">InstaHide challenge set (CIFAR-derived)</t>
  </si>
  <si>
    <t xml:space="preserve">InstaHide encodings</t>
  </si>
  <si>
    <t xml:space="preserve">Formal and practical attacks on instance-encoding schemes; recovers images from InstaHide's encoded challenge set.</t>
  </si>
  <si>
    <t xml:space="preserve">Recovered recognisable images from the InstaHide challenge; argued instance encoding cannot give meaningful privacy without accuracy loss.</t>
  </si>
  <si>
    <t xml:space="preserve">Anyone with encoded training data.</t>
  </si>
  <si>
    <t xml:space="preserve">Specific to encoding schemes, not to cryptographic protection.</t>
  </si>
  <si>
    <t xml:space="preserve">InstaHide, instance encoding, break</t>
  </si>
  <si>
    <t xml:space="preserve">https://arxiv.org/abs/2011.05315</t>
  </si>
  <si>
    <t xml:space="preserve">prabhu2021</t>
  </si>
  <si>
    <t xml:space="preserve">Large Image Datasets: A Pyrrhic Win for Computer Vision?</t>
  </si>
  <si>
    <t xml:space="preserve">Vinay Uday Prabhu, Abeba Birhane</t>
  </si>
  <si>
    <t xml:space="preserve">ImageNet, 80 Million Tiny Images</t>
  </si>
  <si>
    <t xml:space="preserve">Audits ImageNet and related datasets for non-consensual, offensive and identifying content.</t>
  </si>
  <si>
    <t xml:space="preserve">Documented identifiable people and harmful labels; contributed to the blurring of faces in ImageNet and the withdrawal of several face datasets.</t>
  </si>
  <si>
    <t xml:space="preserve">Audit of a few datasets.</t>
  </si>
  <si>
    <t xml:space="preserve">datasets, consent, ethics</t>
  </si>
  <si>
    <t xml:space="preserve">https://arxiv.org/abs/2006.16923</t>
  </si>
  <si>
    <t xml:space="preserve">hinojosa2021</t>
  </si>
  <si>
    <t xml:space="preserve">Learning Privacy-Preserving Optics for Human Pose Estimation</t>
  </si>
  <si>
    <t xml:space="preserve">Carlos Hinojosa, Juan Carlos Niebles, Henry Arguello</t>
  </si>
  <si>
    <t xml:space="preserve">COCO, LSP (pose)</t>
  </si>
  <si>
    <t xml:space="preserve">Learned PSF + pose network</t>
  </si>
  <si>
    <t xml:space="preserve">Jointly optimises a lens's point spread function and a pose network so the captured image is unrecognisable but pose is recoverable.</t>
  </si>
  <si>
    <t xml:space="preserve">Pose estimation close to clean-image accuracy from images where face recognition and human identification fail; validated with a fabricated lens.</t>
  </si>
  <si>
    <t xml:space="preserve">Identification from captured images, including sensor compromise.</t>
  </si>
  <si>
    <t xml:space="preserve">Human pose.</t>
  </si>
  <si>
    <t xml:space="preserve">Task-specific optics; deblurring attacks partially recover images.</t>
  </si>
  <si>
    <t xml:space="preserve">optics, end-to-end, pose estimation</t>
  </si>
  <si>
    <t xml:space="preserve">https://github.com/carlosh93/privacy-optics-hpe</t>
  </si>
  <si>
    <t xml:space="preserve">https://openaccess.thecvf.com/content/ICCV2021/html/Hinojosa_Learning_Privacy-Preserving_Optics_for_Human_Pose_Estimation_ICCV_2021_paper.html</t>
  </si>
  <si>
    <t xml:space="preserve">cherepanova2021</t>
  </si>
  <si>
    <t xml:space="preserve">LowKey: Leveraging Adversarial Attacks to Protect Social Media Users from Facial Recognition</t>
  </si>
  <si>
    <t xml:space="preserve">Valeriia Cherepanova, Micah Goldblum, Harrison Foley, Shiyuan Duan, John Dickerson, Gavin Taylor, Tom Goldstein</t>
  </si>
  <si>
    <t xml:space="preserve">FaceScrub, UMDFaces</t>
  </si>
  <si>
    <t xml:space="preserve">ArcFace/IR-152 ensemble; Amazon Rekognition, Microsoft Azure Face</t>
  </si>
  <si>
    <t xml:space="preserve">Feature-space adversarial perturbations optimised over an ensemble of recognisers with Gaussian smoothing so that gallery images fail to match probes.</t>
  </si>
  <si>
    <t xml:space="preserve">Sharply reduced identification by Amazon Rekognition and Microsoft Azure Face on protected galleries; released as a web tool.</t>
  </si>
  <si>
    <t xml:space="preserve">Commercial recognisers with the user's protected photos in their gallery.</t>
  </si>
  <si>
    <t xml:space="preserve">Small but visible perturbation at strong settings.</t>
  </si>
  <si>
    <t xml:space="preserve">Also broken by Radiya-Dixit et al.; perturbations are larger than Fawkes'.</t>
  </si>
  <si>
    <t xml:space="preserve">cloaking, evasion, commercial APIs</t>
  </si>
  <si>
    <t xml:space="preserve">https://lowkey.umiacs.umd.edu</t>
  </si>
  <si>
    <t xml:space="preserve">https://arxiv.org/abs/2101.07922</t>
  </si>
  <si>
    <t xml:space="preserve">bourtoule2021</t>
  </si>
  <si>
    <t xml:space="preserve">Machine Unlearning</t>
  </si>
  <si>
    <t xml:space="preserve">Lucas Bourtoule, Varun Chandrasekaran, Christopher A. Choquette-Choo, Hengrui Jia, Adelin Travers, Baiwu Zhang, David Lie, Nicolas Papernot</t>
  </si>
  <si>
    <t xml:space="preserve">Purchase, SVHN, MNIST, ImageNet, mini-ImageNet</t>
  </si>
  <si>
    <t xml:space="preserve">ResNet, small CNNs</t>
  </si>
  <si>
    <t xml:space="preserve">SISA training: shard and slice data, train constituent models, and retrain only the affected shard on a deletion request.</t>
  </si>
  <si>
    <t xml:space="preserve">Exact unlearning with large retraining savings; framed unlearning as a systems problem.</t>
  </si>
  <si>
    <t xml:space="preserve">Deletion requests against trained models.</t>
  </si>
  <si>
    <t xml:space="preserve">Accuracy cost from sharding.</t>
  </si>
  <si>
    <t xml:space="preserve">Storage and accuracy overhead; not applicable to already-trained monoliths.</t>
  </si>
  <si>
    <t xml:space="preserve">SISA, exact unlearning, sharding</t>
  </si>
  <si>
    <t xml:space="preserve">https://github.com/cleverhans-lab/machine-unlearning</t>
  </si>
  <si>
    <t xml:space="preserve">https://arxiv.org/abs/1912.03817</t>
  </si>
  <si>
    <t xml:space="preserve">croft2021</t>
  </si>
  <si>
    <t xml:space="preserve">Obfuscation of Images via Differential Privacy: From Facial Images to General Images</t>
  </si>
  <si>
    <t xml:space="preserve">Peer-to-Peer Networking and Applications</t>
  </si>
  <si>
    <t xml:space="preserve">LFW, general image sets</t>
  </si>
  <si>
    <t xml:space="preserve">Feature-space DP mechanism</t>
  </si>
  <si>
    <t xml:space="preserve">Generalises the metric-DP face obfuscation to arbitrary images with feature-space noise.</t>
  </si>
  <si>
    <t xml:space="preserve">A single DP mechanism usable across image types with a utility analysis.</t>
  </si>
  <si>
    <t xml:space="preserve">Inference from released images.</t>
  </si>
  <si>
    <t xml:space="preserve">Moderate.</t>
  </si>
  <si>
    <t xml:space="preserve">Utility degrades quickly at strong budgets.</t>
  </si>
  <si>
    <t xml:space="preserve">differential privacy, general images</t>
  </si>
  <si>
    <t xml:space="preserve">https://doi.org/10.1007/s12083-021-01091-9</t>
  </si>
  <si>
    <t xml:space="preserve">rajabi2021</t>
  </si>
  <si>
    <t xml:space="preserve">On the (Im)Practicality of Adversarial Perturbation for Image Privacy</t>
  </si>
  <si>
    <t xml:space="preserve">Arezoo Rajabi, Rakesh B. Bobba, Mike Rosulek, Charles V. Wright, Wu-chi Feng</t>
  </si>
  <si>
    <t xml:space="preserve">VGG-Face, FaceNet ensembles</t>
  </si>
  <si>
    <t xml:space="preserve">Universal ensemble perturbations and k-randomised transparent image overlays, tested for robustness to compression and to adaptive recognisers.</t>
  </si>
  <si>
    <t xml:space="preserve">Perturbations robust enough to survive real pipelines become visible; small ones are removed by compression or adaptation.</t>
  </si>
  <si>
    <t xml:space="preserve">Automated recognition of uploaded photos.</t>
  </si>
  <si>
    <t xml:space="preserve">Trade-off measured explicitly.</t>
  </si>
  <si>
    <t xml:space="preserve">Argues that pixel-level privacy perturbation is impractical at scale.</t>
  </si>
  <si>
    <t xml:space="preserve">universal perturbation, overlays, practicality</t>
  </si>
  <si>
    <t xml:space="preserve">https://doi.org/10.2478/popets-2021-0006</t>
  </si>
  <si>
    <t xml:space="preserve">chen2021oriole</t>
  </si>
  <si>
    <t xml:space="preserve">Oriole: Thwarting Privacy Against Trustworthy Deep Learning Models</t>
  </si>
  <si>
    <t xml:space="preserve">Liuqiao Chen, Hu Wang, Benjamin Zi Hao Zhao, Minhui Xue, Haifeng Qian</t>
  </si>
  <si>
    <t xml:space="preserve">ACISP</t>
  </si>
  <si>
    <t xml:space="preserve">PubFig, FaceScrub</t>
  </si>
  <si>
    <t xml:space="preserve">Fawkes; VGG-Face-based extractors</t>
  </si>
  <si>
    <t xml:space="preserve">Trains a recogniser on multiple cloaked versions of the same images so the cloak's feature shift is learned and cancelled.</t>
  </si>
  <si>
    <t xml:space="preserve">Recognition of Fawkes-protected users restored, an early demonstration that cloaks fail against an aware trainer.</t>
  </si>
  <si>
    <t xml:space="preserve">Cloaked photos on the web.</t>
  </si>
  <si>
    <t xml:space="preserve">Needs multiple cloaked versions.</t>
  </si>
  <si>
    <t xml:space="preserve">Fawkes, multi-cloak, break</t>
  </si>
  <si>
    <t xml:space="preserve">https://arxiv.org/abs/2102.11502</t>
  </si>
  <si>
    <t xml:space="preserve">dhar2021</t>
  </si>
  <si>
    <t xml:space="preserve">PASS: Protected Attribute Suppression System for Mitigating Bias in Face Recognition</t>
  </si>
  <si>
    <t xml:space="preserve">Prithviraj Dhar, Joshua Gleason, Aniket Roy, Carlos D. Castillo, Rama Chellappa</t>
  </si>
  <si>
    <t xml:space="preserve">IJB-C, MORPH, CelebA</t>
  </si>
  <si>
    <t xml:space="preserve">ArcFace, Crystalface descriptors</t>
  </si>
  <si>
    <t xml:space="preserve">Trains a lightweight network on top of frozen face descriptors to remove gender or skin-tone information while keeping identity.</t>
  </si>
  <si>
    <t xml:space="preserve">Reduced attribute predictability from descriptors and narrowed demographic accuracy gaps.</t>
  </si>
  <si>
    <t xml:space="preserve">Attribute inference and biased use of descriptors.</t>
  </si>
  <si>
    <t xml:space="preserve">Suppression measured against specific classifiers.</t>
  </si>
  <si>
    <t xml:space="preserve">attribute suppression, fairness, descriptor</t>
  </si>
  <si>
    <t xml:space="preserve">https://arxiv.org/abs/2108.03764</t>
  </si>
  <si>
    <t xml:space="preserve">cao2021</t>
  </si>
  <si>
    <t xml:space="preserve">Personalized and Invertible Face De-identification by Disentangled Identity Information Manipulation</t>
  </si>
  <si>
    <t xml:space="preserve">Jingyi Cao, Bo Liu, Yunqian Wen, Rong Xie, Li Song</t>
  </si>
  <si>
    <t xml:space="preserve">Disentangled identity encoder; ArcFace for evaluation</t>
  </si>
  <si>
    <t xml:space="preserve">Disentangles identity from attributes, perturbs the identity vector with a user-specific key and reconstructs; inverse manipulation restores the face.</t>
  </si>
  <si>
    <t xml:space="preserve">Controllable degree of de-identification and exact recovery with the key, at higher visual quality than earlier reversible methods.</t>
  </si>
  <si>
    <t xml:space="preserve">Attributes and expression; recovery for key holder.</t>
  </si>
  <si>
    <t xml:space="preserve">Key management outside the model; not cryptographically analysed.</t>
  </si>
  <si>
    <t xml:space="preserve">reversible, disentanglement, controllable</t>
  </si>
  <si>
    <t xml:space="preserve">https://openaccess.thecvf.com/content/ICCV2021/html/Cao_Personalized_and_Invertible_Face_De-Identification_by_Disentangled_Identity_Information_Manipulation_ICCV_2021_paper.html</t>
  </si>
  <si>
    <t xml:space="preserve">meden2021</t>
  </si>
  <si>
    <t xml:space="preserve">Privacy-Enhancing Face Biometrics: A Comprehensive Survey</t>
  </si>
  <si>
    <t xml:space="preserve">Blaž Meden, Peter Rot, Philipp Terhörst, Naser Damer, Arjan Kuijper, Walter J. Scheirer, Arun Ross, Peter Peer, Vitomir Štruc</t>
  </si>
  <si>
    <t xml:space="preserve">Survey (200+ references)</t>
  </si>
  <si>
    <t xml:space="preserve">Taxonomy of privacy-enhancing face techniques by what is protected (identity, soft biometrics) and where (image, representation, inference level), over more than 200 references.</t>
  </si>
  <si>
    <t xml:space="preserve">The standard reference survey; also catalogued the lack of shared evaluation protocols.</t>
  </si>
  <si>
    <t xml:space="preserve">Pre-diffusion.</t>
  </si>
  <si>
    <t xml:space="preserve">survey, taxonomy, 200+ references</t>
  </si>
  <si>
    <t xml:space="preserve">https://doi.org/10.1109/TIFS.2021.3096024</t>
  </si>
  <si>
    <t xml:space="preserve">morales2021</t>
  </si>
  <si>
    <t xml:space="preserve">SensitiveNets: Learning Agnostic Representations with Application to Face Images</t>
  </si>
  <si>
    <t xml:space="preserve">Aythami Morales, Julian Fierrez, Ruben Vera-Rodriguez, Ruben Tolosana</t>
  </si>
  <si>
    <t xml:space="preserve">CelebA, LFW, DiveFace</t>
  </si>
  <si>
    <t xml:space="preserve">ResNet-50, VGG-Face</t>
  </si>
  <si>
    <t xml:space="preserve">Adds a sensitive-information removal term to representation learning so the embedding is agnostic to gender and ethnicity.</t>
  </si>
  <si>
    <t xml:space="preserve">Kept recognition accuracy while sharply reducing attribute predictability; also framed as a fairness tool.</t>
  </si>
  <si>
    <t xml:space="preserve">Attribute inference and discriminatory use of embeddings.</t>
  </si>
  <si>
    <t xml:space="preserve">Agnosticism measured against specific classifiers.</t>
  </si>
  <si>
    <t xml:space="preserve">agnostic representation, triplet loss, fairness</t>
  </si>
  <si>
    <t xml:space="preserve">https://arxiv.org/abs/1902.00334</t>
  </si>
  <si>
    <t xml:space="preserve">qiu2021</t>
  </si>
  <si>
    <t xml:space="preserve">SynFace: Face Recognition with Synthetic Data</t>
  </si>
  <si>
    <t xml:space="preserve">Haibo Qiu, Baosheng Yu, Dihong Gong, Zhifeng Li, Wei Liu, Dacheng Tao</t>
  </si>
  <si>
    <t xml:space="preserve">Synthetic (DiscoFaceGAN); LFW, CFP-FP, AgeDB, CALFW, CPLFW</t>
  </si>
  <si>
    <t xml:space="preserve">ResNet-50 ArcFace</t>
  </si>
  <si>
    <t xml:space="preserve">Trains recognisers on faces from a disentangled face GAN with identity mixup and domain mixup to close the gap to real data.</t>
  </si>
  <si>
    <t xml:space="preserve">Demonstrated viable recognition from synthetic-only training and diagnosed the intra-class diversity gap.</t>
  </si>
  <si>
    <t xml:space="preserve">Consent and scraping risks of real training sets.</t>
  </si>
  <si>
    <t xml:space="preserve">Recognition accuracy (lower than real data).</t>
  </si>
  <si>
    <t xml:space="preserve">Generator itself trained on real faces; identity leakage from generator possible.</t>
  </si>
  <si>
    <t xml:space="preserve">synthetic data, GAN, identity mixup</t>
  </si>
  <si>
    <t xml:space="preserve">https://github.com/haibo-qiu/SynFace</t>
  </si>
  <si>
    <t xml:space="preserve">https://arxiv.org/abs/2108.07960</t>
  </si>
  <si>
    <t xml:space="preserve">yang2021</t>
  </si>
  <si>
    <t xml:space="preserve">Towards Face Encryption by Generating Adversarial Identity Masks</t>
  </si>
  <si>
    <t xml:space="preserve">Xiao Yang, Yinpeng Dong, Tianyu Pang, Hang Su, Jun Zhu, Yuefeng Chen, Hui Xue</t>
  </si>
  <si>
    <t xml:space="preserve">LFW, MegaFace</t>
  </si>
  <si>
    <t xml:space="preserve">ArcFace, CosFace, FaceNet, SphereFace, MobileFace, ResNet-50</t>
  </si>
  <si>
    <t xml:space="preserve">Targeted Identity-Protection Iterative Method: optimises masks toward a set of target identities with an MMD naturalness loss for imperceptibility and transfer.</t>
  </si>
  <si>
    <t xml:space="preserve">Over 95% protection success against several state-of-the-art recognisers in open-set tests.</t>
  </si>
  <si>
    <t xml:space="preserve">Unknown black-box recognisers.</t>
  </si>
  <si>
    <t xml:space="preserve">Natural-looking images.</t>
  </si>
  <si>
    <t xml:space="preserve">Evaluated against fixed models; adaptive retraining not covered.</t>
  </si>
  <si>
    <t xml:space="preserve">TIP-IM, identity mask, transferability</t>
  </si>
  <si>
    <t xml:space="preserve">https://github.com/ShawnXYang/TIP-IM</t>
  </si>
  <si>
    <t xml:space="preserve">https://arxiv.org/abs/2003.06814</t>
  </si>
  <si>
    <t xml:space="preserve">hazirbas2021</t>
  </si>
  <si>
    <t xml:space="preserve">Towards Measuring Fairness in AI: The Casual Conversations Dataset</t>
  </si>
  <si>
    <t xml:space="preserve">Caner Hazirbas, Joanna Bitton, Brian Dolhansky, Jacqueline Pan, Albert Gordo, Cristian Canton Ferrer</t>
  </si>
  <si>
    <t xml:space="preserve">IEEE TBIOM (CVPR Workshops 2021)</t>
  </si>
  <si>
    <t xml:space="preserve">Casual Conversations (45,186 videos)</t>
  </si>
  <si>
    <t xml:space="preserve">Benchmark for deepfake detection and attribute models</t>
  </si>
  <si>
    <t xml:space="preserve">A dataset of 3,011 paid, consenting participants with self-reported age and gender and annotated skin tone, licensed for evaluation only.</t>
  </si>
  <si>
    <t xml:space="preserve">Demonstrated that a consented, compensated face dataset for fairness evaluation is feasible at scale.</t>
  </si>
  <si>
    <t xml:space="preserve">Consent and compensation in face data.</t>
  </si>
  <si>
    <t xml:space="preserve">Fairness evaluation.</t>
  </si>
  <si>
    <t xml:space="preserve">Evaluation-only licence; US participants.</t>
  </si>
  <si>
    <t xml:space="preserve">consented dataset, fairness, paid participants</t>
  </si>
  <si>
    <t xml:space="preserve">https://arxiv.org/abs/2104.02821</t>
  </si>
  <si>
    <t xml:space="preserve">huang2021ue</t>
  </si>
  <si>
    <t xml:space="preserve">Unlearnable Examples: Making Personal Data Unexploitable</t>
  </si>
  <si>
    <t xml:space="preserve">Hanxun Huang, Xingjun Ma, Sarah Monazam Erfani, James Bailey, Yisen Wang</t>
  </si>
  <si>
    <t xml:space="preserve">CIFAR-10, CIFAR-100, SVHN, ImageNet subset, WebFace subset</t>
  </si>
  <si>
    <t xml:space="preserve">ResNet-18, ResNet-50, VGG-11, DenseNet-121</t>
  </si>
  <si>
    <t xml:space="preserve">Error-minimising noise: a bi-level optimisation finds small perturbations that make training loss vanish so a model learns the noise instead of the content, sample-wise or class-wise.</t>
  </si>
  <si>
    <t xml:space="preserve">Models trained on unlearnable CIFAR and ImageNet subsets fell to near-chance test accuracy; a face case study on WebFace identities showed personal photos could be made unlearnable.</t>
  </si>
  <si>
    <t xml:space="preserve">Unauthorised training on scraped personal images.</t>
  </si>
  <si>
    <t xml:space="preserve">Images look unchanged.</t>
  </si>
  <si>
    <t xml:space="preserve">Adversarial training largely restores learnability (Fu et al. 2022); JPEG or grayscale compression removes the noise (Liu et al. 2023); diffusion purification too.</t>
  </si>
  <si>
    <t xml:space="preserve">unlearnable examples, error-minimizing noise, availability poisoning</t>
  </si>
  <si>
    <t xml:space="preserve">https://github.com/HanxunH/Unlearnable-Examples</t>
  </si>
  <si>
    <t xml:space="preserve">https://arxiv.org/abs/2101.04898</t>
  </si>
  <si>
    <t xml:space="preserve">deb2020</t>
  </si>
  <si>
    <t xml:space="preserve">AdvFaces: Adversarial Face Synthesis</t>
  </si>
  <si>
    <t xml:space="preserve">Debayan Deb, Jianbang Zhang, Anil K. Jain</t>
  </si>
  <si>
    <t xml:space="preserve">CASIA-WebFace (train); LFW</t>
  </si>
  <si>
    <t xml:space="preserve">FaceNet, SphereFace, ArcFace, COTS matcher</t>
  </si>
  <si>
    <t xml:space="preserve">A GAN learns to synthesise minimal, image-specific perturbations in salient facial regions for obfuscation or impersonation.</t>
  </si>
  <si>
    <t xml:space="preserve">Reported 97.22% obfuscation success on LFW against a black-box matcher with high visual quality.</t>
  </si>
  <si>
    <t xml:space="preserve">Black-box recognisers, including COTS.</t>
  </si>
  <si>
    <t xml:space="preserve">Static perturbations; same future-model exposure.</t>
  </si>
  <si>
    <t xml:space="preserve">GAN, minimal perturbation, obfuscation and impersonation</t>
  </si>
  <si>
    <t xml:space="preserve">https://arxiv.org/abs/1908.05008</t>
  </si>
  <si>
    <t xml:space="preserve">komkov2020</t>
  </si>
  <si>
    <t xml:space="preserve">AdvHat: Real-World Adversarial Attack on ArcFace Face ID System</t>
  </si>
  <si>
    <t xml:space="preserve">Stepan Komkov, Aleksandr Petiushko</t>
  </si>
  <si>
    <t xml:space="preserve">ICPR</t>
  </si>
  <si>
    <t xml:space="preserve">CASIA-WebFace; own photographs</t>
  </si>
  <si>
    <t xml:space="preserve">ArcFace (LResNet100E-IR)</t>
  </si>
  <si>
    <t xml:space="preserve">A printed rectangular sticker on a hat, optimised with off-plane transformations to remain adversarial when photographed.</t>
  </si>
  <si>
    <t xml:space="preserve">Reduced ArcFace similarity to the wearer's gallery image below the matching threshold in physical tests, and transferred partly to other models.</t>
  </si>
  <si>
    <t xml:space="preserve">Deep recognisers in the physical world.</t>
  </si>
  <si>
    <t xml:space="preserve">A hat with a patterned sticker.</t>
  </si>
  <si>
    <t xml:space="preserve">Single model targeted; conspicuous pattern.</t>
  </si>
  <si>
    <t xml:space="preserve">physical, sticker, ArcFace</t>
  </si>
  <si>
    <t xml:space="preserve">https://github.com/papermsucode/advhat</t>
  </si>
  <si>
    <t xml:space="preserve">https://arxiv.org/abs/1908.08705</t>
  </si>
  <si>
    <t xml:space="preserve">maximov2020</t>
  </si>
  <si>
    <t xml:space="preserve">CIAGAN: Conditional Identity Anonymization Generative Adversarial Networks</t>
  </si>
  <si>
    <t xml:space="preserve">Maxim Maximov, Ismail Elezi, Laura Leal-Taixé</t>
  </si>
  <si>
    <t xml:space="preserve">CelebA, MOTS, LFW</t>
  </si>
  <si>
    <t xml:space="preserve">Landmark-conditioned GAN; FaceNet for evaluation</t>
  </si>
  <si>
    <t xml:space="preserve">Conditions a GAN on landmarks, a masked face and a one-hot identity code so the new identity is chosen, not random, and stays consistent across video frames.</t>
  </si>
  <si>
    <t xml:space="preserve">Removed identity from images and video while keeping pose and detectability; identity control allowed consistent anonymisation across frames.</t>
  </si>
  <si>
    <t xml:space="preserve">Face recognition in images and video.</t>
  </si>
  <si>
    <t xml:space="preserve">Detection, tracking, pose.</t>
  </si>
  <si>
    <t xml:space="preserve">Landmark leakage; limited resolution; expression fidelity modest.</t>
  </si>
  <si>
    <t xml:space="preserve">GAN, landmarks, controllable identity</t>
  </si>
  <si>
    <t xml:space="preserve">https://github.com/dvl-tum/ciagan</t>
  </si>
  <si>
    <t xml:space="preserve">https://arxiv.org/abs/2005.09544</t>
  </si>
  <si>
    <t xml:space="preserve">kolberg2020</t>
  </si>
  <si>
    <t xml:space="preserve">Efficiency Analysis of Post-Quantum-Secure Face Template Protection Schemes Based on Homomorphic Encryption</t>
  </si>
  <si>
    <t xml:space="preserve">Jascha Kolberg, Pawel Drozdowski, Marta Gomez-Barrero, Christian Rathgeb, Christoph Busch</t>
  </si>
  <si>
    <t xml:space="preserve">BIOSIG</t>
  </si>
  <si>
    <t xml:space="preserve">ArcFace; BFV/CKKS-style HE</t>
  </si>
  <si>
    <t xml:space="preserve">Compares lattice-based HE schemes for protecting deep face templates in verification and identification.</t>
  </si>
  <si>
    <t xml:space="preserve">Post-quantum HE feasible for verification; identification remains costly.</t>
  </si>
  <si>
    <t xml:space="preserve">Template theft, including by quantum-capable adversaries.</t>
  </si>
  <si>
    <t xml:space="preserve">Verification accuracy unchanged.</t>
  </si>
  <si>
    <t xml:space="preserve">Latency for large galleries.</t>
  </si>
  <si>
    <t xml:space="preserve">homomorphic encryption, post-quantum, efficiency</t>
  </si>
  <si>
    <t xml:space="preserve">https://ieeexplore.ieee.org/document/9210976</t>
  </si>
  <si>
    <t xml:space="preserve">golatkar2020a</t>
  </si>
  <si>
    <t xml:space="preserve">Eternal Sunshine of the Spotless Net: Selective Forgetting in Deep Networks</t>
  </si>
  <si>
    <t xml:space="preserve">Aditya Golatkar, Alessandro Achille, Stefano Soatto</t>
  </si>
  <si>
    <t xml:space="preserve">MNIST, CIFAR-10, Lacuna-10/100 (VGGFace2 faces)</t>
  </si>
  <si>
    <t xml:space="preserve">Scrubs information about a subset of training data from network weights using a Fisher-information-based noise, with an information-theoretic bound on what remains.</t>
  </si>
  <si>
    <t xml:space="preserve">Forgot classes of faces (Lacuna, from VGGFace2) with residual information bounded, without full retraining.</t>
  </si>
  <si>
    <t xml:space="preserve">Identities that must be removed from a trained recogniser.</t>
  </si>
  <si>
    <t xml:space="preserve">Accuracy on retained classes.</t>
  </si>
  <si>
    <t xml:space="preserve">Approximate; bounds are loose for large forget sets.</t>
  </si>
  <si>
    <t xml:space="preserve">selective forgetting, Fisher noise, faces</t>
  </si>
  <si>
    <t xml:space="preserve">https://github.com/AdityaGolatkar/SelectiveForgetting</t>
  </si>
  <si>
    <t xml:space="preserve">https://arxiv.org/abs/1911.04933</t>
  </si>
  <si>
    <t xml:space="preserve">learnedmiller2020</t>
  </si>
  <si>
    <t xml:space="preserve">Facial Recognition Technologies in the Wild: A Call for a Federal Office</t>
  </si>
  <si>
    <t xml:space="preserve">Erik Learned-Miller, Vicente Ordóñez, Jamie Morgenstern, Joy Buolamwini</t>
  </si>
  <si>
    <t xml:space="preserve">Algorithmic Justice League white paper</t>
  </si>
  <si>
    <t xml:space="preserve">Proposes an FDA-style federal office to approve and audit face recognition deployments, with an accompanying primer on the technology.</t>
  </si>
  <si>
    <t xml:space="preserve">Framed regulation as pre-market approval rather than after-the-fact litigation; widely cited in US policy debates.</t>
  </si>
  <si>
    <t xml:space="preserve">Unregulated deployment.</t>
  </si>
  <si>
    <t xml:space="preserve">US-centric proposal.</t>
  </si>
  <si>
    <t xml:space="preserve">policy, regulation, primer</t>
  </si>
  <si>
    <t xml:space="preserve">https://www.ajl.org/federal-office-call</t>
  </si>
  <si>
    <t xml:space="preserve">shan2020</t>
  </si>
  <si>
    <t xml:space="preserve">Fawkes: Protecting Privacy against Unauthorized Deep Learning Models</t>
  </si>
  <si>
    <t xml:space="preserve">Shawn Shan, Emily Wenger, Jiayun Zhang, Huiying Li, Haitao Zheng, Ben Y. Zhao</t>
  </si>
  <si>
    <t xml:space="preserve">PubFig, FaceScrub, WebFace</t>
  </si>
  <si>
    <t xml:space="preserve">VGG2-Dense and WebFace-Dense feature extractors; Microsoft Azure Face, Amazon Rekognition, Face++</t>
  </si>
  <si>
    <t xml:space="preserve">Cloaking: add imperceptible perturbations to photos before posting so that a model trained on them learns a wrong feature representation of the user.</t>
  </si>
  <si>
    <t xml:space="preserve">Reported over 95% protection against models including Microsoft Azure Face, Amazon Rekognition and Face++ trained on cloaked images; the tool was downloaded more than 500,000 times.</t>
  </si>
  <si>
    <t xml:space="preserve">Unauthorised recognisers trained by scraping the user's photos.</t>
  </si>
  <si>
    <t xml:space="preserve">Photos look unchanged to people.</t>
  </si>
  <si>
    <t xml:space="preserve">Broken as a durable defense by Radiya-Dixit et al. (ICLR 2022): protection fails against future or adaptive models. Does nothing against cameras.</t>
  </si>
  <si>
    <t xml:space="preserve">cloaking, data poisoning, Clearview</t>
  </si>
  <si>
    <t xml:space="preserve">https://github.com/Shawn-Shan/fawkes</t>
  </si>
  <si>
    <t xml:space="preserve">https://arxiv.org/abs/2002.08327</t>
  </si>
  <si>
    <t xml:space="preserve">golatkar2020b</t>
  </si>
  <si>
    <t xml:space="preserve">Forgetting Outside the Box: Scrubbing Deep Networks of Information Accessible from Input-Output Observations</t>
  </si>
  <si>
    <t xml:space="preserve">Lacuna-10/100, CIFAR-10</t>
  </si>
  <si>
    <t xml:space="preserve">Extends scrubbing to information recoverable from input-output behaviour using a linearised (NTK) approximation of training.</t>
  </si>
  <si>
    <t xml:space="preserve">Forgetting measured on the function, not just weights, on face and object benchmarks.</t>
  </si>
  <si>
    <t xml:space="preserve">Identity leakage through model outputs after deletion requests.</t>
  </si>
  <si>
    <t xml:space="preserve">Linearisation assumptions.</t>
  </si>
  <si>
    <t xml:space="preserve">black-box forgetting, NTK, faces</t>
  </si>
  <si>
    <t xml:space="preserve">https://arxiv.org/abs/2003.02960</t>
  </si>
  <si>
    <t xml:space="preserve">huang2020</t>
  </si>
  <si>
    <t xml:space="preserve">InstaHide: Instance-hiding Schemes for Private Distributed Learning</t>
  </si>
  <si>
    <t xml:space="preserve">Yangsibo Huang, Zhao Song, Kai Li, Sanjeev Arora</t>
  </si>
  <si>
    <t xml:space="preserve">CIFAR-10, CIFAR-100, ImageNet</t>
  </si>
  <si>
    <t xml:space="preserve">Encodes each training image by mixing it with random public images and flipping pixel signs before training.</t>
  </si>
  <si>
    <t xml:space="preserve">Claimed practical privacy at little accuracy cost; a public challenge was broken within months.</t>
  </si>
  <si>
    <t xml:space="preserve">Anyone seeing encoded training data.</t>
  </si>
  <si>
    <t xml:space="preserve">Training accuracy.</t>
  </si>
  <si>
    <t xml:space="preserve">Broken by Carlini et al. (S&amp;P 2021), who recovered the challenge images.</t>
  </si>
  <si>
    <t xml:space="preserve">instance encoding, mixup, broken</t>
  </si>
  <si>
    <t xml:space="preserve">https://github.com/Hazelsuko07/InstaHide</t>
  </si>
  <si>
    <t xml:space="preserve">https://arxiv.org/abs/2010.02772</t>
  </si>
  <si>
    <t xml:space="preserve">bortolato2020</t>
  </si>
  <si>
    <t xml:space="preserve">Learning Privacy-Enhancing Face Representations Through Feature Disentanglement</t>
  </si>
  <si>
    <t xml:space="preserve">Blaž Bortolato, Marija Ivanovska, Peter Rot, Janez Križaj, Philipp Terhörst, Naser Damer, Peter Peer, Vitomir Štruc</t>
  </si>
  <si>
    <t xml:space="preserve">IEEE FG</t>
  </si>
  <si>
    <t xml:space="preserve">ArcFace/VGGFace2 representations</t>
  </si>
  <si>
    <t xml:space="preserve">Autoencoder that splits a representation into identity and attribute parts and discards the attribute part.</t>
  </si>
  <si>
    <t xml:space="preserve">Reduced gender predictability from representations with limited recognition impact.</t>
  </si>
  <si>
    <t xml:space="preserve">Attribute inference from representations.</t>
  </si>
  <si>
    <t xml:space="preserve">Disentanglement is imperfect; residual leakage.</t>
  </si>
  <si>
    <t xml:space="preserve">disentanglement, representation</t>
  </si>
  <si>
    <t xml:space="preserve">https://doi.org/10.1109/FG47880.2020.00007</t>
  </si>
  <si>
    <t xml:space="preserve">ngan2020</t>
  </si>
  <si>
    <t xml:space="preserve">Ongoing Face Recognition Vendor Test Part 6B: Face Recognition Accuracy with Face Masks Using Post-COVID-19 Algorithms</t>
  </si>
  <si>
    <t xml:space="preserve">Mei Ngan, Patrick Grother, Kayee Hanaoka</t>
  </si>
  <si>
    <t xml:space="preserve">NIST Interagency Report 8331</t>
  </si>
  <si>
    <t xml:space="preserve">Digitally masked government image sets</t>
  </si>
  <si>
    <t xml:space="preserve">Post-pandemic submitted algorithms</t>
  </si>
  <si>
    <t xml:space="preserve">Tests algorithms submitted after the pandemic began on digitally masked faces.</t>
  </si>
  <si>
    <t xml:space="preserve">Error rates for masked faces fell sharply compared with pre-pandemic algorithms as vendors retrained, though masks still raised errors.</t>
  </si>
  <si>
    <t xml:space="preserve">Digital masks rather than real ones.</t>
  </si>
  <si>
    <t xml:space="preserve">masks, NIST, occlusion</t>
  </si>
  <si>
    <t xml:space="preserve">https://doi.org/10.6028/NIST.IR.8331</t>
  </si>
  <si>
    <t xml:space="preserve">terhorst2020</t>
  </si>
  <si>
    <t xml:space="preserve">PE-MIU: A Training-Free Privacy-Enhancing Face Recognition Approach Based on Minimum Information Units</t>
  </si>
  <si>
    <t xml:space="preserve">Philipp Terhörst, Kevin Riehl, Naser Damer, Peter Rot, Blaz Bortolato, Florian Kirchbuchner, Vitomir Štruc, Arjan Kuijper</t>
  </si>
  <si>
    <t xml:space="preserve">IEEE Access</t>
  </si>
  <si>
    <t xml:space="preserve">ColorFeret, Adience, LFW</t>
  </si>
  <si>
    <t xml:space="preserve">FaceNet templates</t>
  </si>
  <si>
    <t xml:space="preserve">Splits templates into minimum information units and shuffles them so attribute classifiers lose structure while matching uses block-wise comparison.</t>
  </si>
  <si>
    <t xml:space="preserve">Training-free suppression of several attributes with little recognition loss.</t>
  </si>
  <si>
    <t xml:space="preserve">Attribute inference from templates.</t>
  </si>
  <si>
    <t xml:space="preserve">Vulnerable to the black-box attribute attack of Osorio-Roig et al.</t>
  </si>
  <si>
    <t xml:space="preserve">training-free, template, shuffling</t>
  </si>
  <si>
    <t xml:space="preserve">https://doi.org/10.1109/ACCESS.2020.2994960</t>
  </si>
  <si>
    <t xml:space="preserve">gu2020</t>
  </si>
  <si>
    <t xml:space="preserve">Password-Conditioned Anonymization and Deanonymization with Face Identity Transformers</t>
  </si>
  <si>
    <t xml:space="preserve">Xiuye Gu, Weixin Luo, Michael S. Ryoo, Yong Jae Lee</t>
  </si>
  <si>
    <t xml:space="preserve">CASIA-WebFace, LFW, FFHQ</t>
  </si>
  <si>
    <t xml:space="preserve">Face identity transformer (GAN); FaceNet for evaluation</t>
  </si>
  <si>
    <t xml:space="preserve">A face identity transformer conditioned on a password: the correct password recovers the original, any wrong password yields a different, still anonymous face.</t>
  </si>
  <si>
    <t xml:space="preserve">First reversible generative de-identification with a secret; wrong passwords do not reveal the original.</t>
  </si>
  <si>
    <t xml:space="preserve">Full recovery for the key holder.</t>
  </si>
  <si>
    <t xml:space="preserve">Security rests on the network, not on cryptography; not analysed against inversion attacks.</t>
  </si>
  <si>
    <t xml:space="preserve">reversible, password, GAN</t>
  </si>
  <si>
    <t xml:space="preserve">https://github.com/laoreja/face-identity-transformer</t>
  </si>
  <si>
    <t xml:space="preserve">https://arxiv.org/abs/1911.11759</t>
  </si>
  <si>
    <t xml:space="preserve">terhorst2020proto</t>
  </si>
  <si>
    <t xml:space="preserve">Privacy Evaluation Protocols for the Evaluation of Soft-Biometric Privacy-Enhancing Technologies</t>
  </si>
  <si>
    <t xml:space="preserve">Philipp Terhörst, Marco Huber, Naser Damer, Peter Rot, Florian Kirchbuchner, Vitomir Štruc, Arjan Kuijper</t>
  </si>
  <si>
    <t xml:space="preserve">Several privacy enhancers and attribute classifiers</t>
  </si>
  <si>
    <t xml:space="preserve">Proposes evaluation protocols that test privacy against unknown attribute classifiers, not the ones used in training.</t>
  </si>
  <si>
    <t xml:space="preserve">Showed that many soft-biometric privacy methods overstated protection when tested only on training-time classifiers.</t>
  </si>
  <si>
    <t xml:space="preserve">Not applicable: evaluation.</t>
  </si>
  <si>
    <t xml:space="preserve">Protocol paper.</t>
  </si>
  <si>
    <t xml:space="preserve">evaluation protocol, soft biometrics</t>
  </si>
  <si>
    <t xml:space="preserve">https://ieeexplore.ieee.org/document/9211021</t>
  </si>
  <si>
    <t xml:space="preserve">chamikara2020</t>
  </si>
  <si>
    <t xml:space="preserve">Privacy Preserving Face Recognition Utilizing Differential Privacy</t>
  </si>
  <si>
    <t xml:space="preserve">M.A.P. Chamikara, P. Bertok, I. Khalil, D. Liu, S. Camtepe</t>
  </si>
  <si>
    <t xml:space="preserve">LFW, ORL, Yale</t>
  </si>
  <si>
    <t xml:space="preserve">Eigenfaces with local DP</t>
  </si>
  <si>
    <t xml:space="preserve">PEEP applies local differential privacy to Eigenface projections before they leave the device.</t>
  </si>
  <si>
    <t xml:space="preserve">Formal privacy with modest recognition loss on classic benchmarks.</t>
  </si>
  <si>
    <t xml:space="preserve">Server or eavesdropper inferring faces from transmitted features.</t>
  </si>
  <si>
    <t xml:space="preserve">Recognition accuracy (Eigenface-level).</t>
  </si>
  <si>
    <t xml:space="preserve">Eigenfaces are weak; DP noise costs accuracy on deep features.</t>
  </si>
  <si>
    <t xml:space="preserve">PEEP, local differential privacy, Eigenfaces</t>
  </si>
  <si>
    <t xml:space="preserve">https://doi.org/10.1016/j.cose.2020.101951</t>
  </si>
  <si>
    <t xml:space="preserve">mirjalili2020</t>
  </si>
  <si>
    <t xml:space="preserve">PrivacyNet: Semi-Adversarial Networks for Multi-Attribute Face Privacy</t>
  </si>
  <si>
    <t xml:space="preserve">Vahid Mirjalili, Sebastian Raschka, Arun Ross</t>
  </si>
  <si>
    <t xml:space="preserve">IEEE TIP</t>
  </si>
  <si>
    <t xml:space="preserve">CelebA, MORPH, MUCT, RaFD, UTKFace</t>
  </si>
  <si>
    <t xml:space="preserve">GAN; commercial matcher; attribute CNNs</t>
  </si>
  <si>
    <t xml:space="preserve">GAN-based semi-adversarial network that lets the user choose which attributes (age, race, gender) to obfuscate while keeping others and identity.</t>
  </si>
  <si>
    <t xml:space="preserve">Selective, multi-attribute obfuscation with preserved matching.</t>
  </si>
  <si>
    <t xml:space="preserve">Attribute classifiers on shared images.</t>
  </si>
  <si>
    <t xml:space="preserve">Identity matching and chosen attributes.</t>
  </si>
  <si>
    <t xml:space="preserve">Attribute recovery by adaptive attackers.</t>
  </si>
  <si>
    <t xml:space="preserve">multi-attribute, GAN, selective</t>
  </si>
  <si>
    <t xml:space="preserve">https://arxiv.org/abs/2001.00561</t>
  </si>
  <si>
    <t xml:space="preserve">hill2020</t>
  </si>
  <si>
    <t xml:space="preserve">The Secretive Company That Might End Privacy as We Know It</t>
  </si>
  <si>
    <t xml:space="preserve">The New York Times (investigative journalism)</t>
  </si>
  <si>
    <t xml:space="preserve">Clearview AI</t>
  </si>
  <si>
    <t xml:space="preserve">Investigation revealing Clearview AI's face search engine built from more than three billion scraped photos and sold to police.</t>
  </si>
  <si>
    <t xml:space="preserve">Triggered lawsuits, regulator fines on three continents, platform cease-and-desist letters and much of the anti-scraping research that followed.</t>
  </si>
  <si>
    <t xml:space="preserve">Mass scraping for identification.</t>
  </si>
  <si>
    <t xml:space="preserve">Journalism, not peer review.</t>
  </si>
  <si>
    <t xml:space="preserve">Clearview AI, scraping, journalism</t>
  </si>
  <si>
    <t xml:space="preserve">https://www.nytimes.com/2020/01/18/technology/clearview-privacy-facial-recognition.html</t>
  </si>
  <si>
    <t xml:space="preserve">terhorst2020neg</t>
  </si>
  <si>
    <t xml:space="preserve">Unsupervised Enhancement of Soft-Biometric Privacy with Negative Face Recognition</t>
  </si>
  <si>
    <t xml:space="preserve">Philipp Terhörst, Marco Huber, Naser Damer, Florian Kirchbuchner, Arjan Kuijper</t>
  </si>
  <si>
    <t xml:space="preserve">Stores what a face is not (a negative template) so matching works via dissimilarity while attribute classifiers lose their signal.</t>
  </si>
  <si>
    <t xml:space="preserve">Attribute suppression without attribute labels at small recognition cost.</t>
  </si>
  <si>
    <t xml:space="preserve">Preprint; attacked by Osorio-Roig et al.</t>
  </si>
  <si>
    <t xml:space="preserve">negative recognition, template, unsupervised</t>
  </si>
  <si>
    <t xml:space="preserve">https://arxiv.org/abs/2002.09181</t>
  </si>
  <si>
    <t xml:space="preserve">duong2020</t>
  </si>
  <si>
    <t xml:space="preserve">Vec2Face: Unveil Human Faces from their Blackbox Features in Face Recognition</t>
  </si>
  <si>
    <t xml:space="preserve">Chi Nhan Duong, Thanh-Dat Truong, Khoa Luu, Kha Gia Quach, Hung Bui, Kaushik Roy</t>
  </si>
  <si>
    <t xml:space="preserve">CASIA-WebFace; LFW, CFP-FP, AgeDB</t>
  </si>
  <si>
    <t xml:space="preserve">ArcFace (black-box); DiBiGAN</t>
  </si>
  <si>
    <t xml:space="preserve">DiBiGAN: a bijection-based generative model that reconstructs faces from black-box features using distillation.</t>
  </si>
  <si>
    <t xml:space="preserve">Realistic, recognisable reconstructions from black-box embeddings without model access.</t>
  </si>
  <si>
    <t xml:space="preserve">Attacker with embeddings and only API access to the extractor.</t>
  </si>
  <si>
    <t xml:space="preserve">Quality depends on distillation data.</t>
  </si>
  <si>
    <t xml:space="preserve">template inversion, black-box, GAN</t>
  </si>
  <si>
    <t xml:space="preserve">https://arxiv.org/abs/2003.06958</t>
  </si>
  <si>
    <t xml:space="preserve">sharif2019</t>
  </si>
  <si>
    <t xml:space="preserve">A General Framework for Adversarial Examples with Objectives</t>
  </si>
  <si>
    <t xml:space="preserve">Mahmood Sharif, Sruti Bhagavatula, Lujo Bauer, Michael K. Reiter</t>
  </si>
  <si>
    <t xml:space="preserve">ACM TOPS</t>
  </si>
  <si>
    <t xml:space="preserve">PubFig, VGGFace2; own photographs</t>
  </si>
  <si>
    <t xml:space="preserve">VGG-Face, OpenFace</t>
  </si>
  <si>
    <t xml:space="preserve">Adversarial Generative Nets: a GAN produces eyeglass patterns that are simultaneously inconspicuous, robust to pose and lighting, and adversarial.</t>
  </si>
  <si>
    <t xml:space="preserve">Inconspicuous physical attacks that transferred across recognisers and survived real-world capture.</t>
  </si>
  <si>
    <t xml:space="preserve">Deep face recognition, black-box in part.</t>
  </si>
  <si>
    <t xml:space="preserve">Frames look like fashion eyewear.</t>
  </si>
  <si>
    <t xml:space="preserve">Still requires substitute models; defended by adversarial training.</t>
  </si>
  <si>
    <t xml:space="preserve">AGN, GAN, eyeglasses, physical</t>
  </si>
  <si>
    <t xml:space="preserve">https://arxiv.org/abs/1801.00349</t>
  </si>
  <si>
    <t xml:space="preserve">raji2019</t>
  </si>
  <si>
    <t xml:space="preserve">Actionable Auditing: Investigating the Impact of Publicly Naming Biased Performance Results of Commercial AI Products</t>
  </si>
  <si>
    <t xml:space="preserve">Inioluwa Deborah Raji, Joy Buolamwini</t>
  </si>
  <si>
    <t xml:space="preserve">AAAI/ACM AIES</t>
  </si>
  <si>
    <t xml:space="preserve">PPB</t>
  </si>
  <si>
    <t xml:space="preserve">Microsoft, IBM, Face++, Amazon, Kairos</t>
  </si>
  <si>
    <t xml:space="preserve">Re-audits the Gender Shades vendors and others a year after publication.</t>
  </si>
  <si>
    <t xml:space="preserve">Named vendors reduced disparities substantially; unnamed ones had not. Public audits change products.</t>
  </si>
  <si>
    <t xml:space="preserve">Correlational evidence.</t>
  </si>
  <si>
    <t xml:space="preserve">audit, accountability</t>
  </si>
  <si>
    <t xml:space="preserve">https://doi.org/10.1145/3306618.3314244</t>
  </si>
  <si>
    <t xml:space="preserve">li2019</t>
  </si>
  <si>
    <t xml:space="preserve">AnonymousNet: Natural Face De-Identification with Measurable Privacy</t>
  </si>
  <si>
    <t xml:space="preserve">Tao Li, Lei Lin</t>
  </si>
  <si>
    <t xml:space="preserve">Attribute predictor + StarGAN-style generator</t>
  </si>
  <si>
    <t xml:space="preserve">Four-stage pipeline: predict attributes, obfuscate them under a privacy metric, synthesise with a GAN, then add adversarial perturbation.</t>
  </si>
  <si>
    <t xml:space="preserve">Introduced measurable privacy for generative de-identification by tying attribute changes to a k-anonymity-style metric.</t>
  </si>
  <si>
    <t xml:space="preserve">Face recognition and attribute inference.</t>
  </si>
  <si>
    <t xml:space="preserve">Selected attributes preserved.</t>
  </si>
  <si>
    <t xml:space="preserve">Complex pipeline; evaluation on limited datasets.</t>
  </si>
  <si>
    <t xml:space="preserve">attribute, GAN, measurable privacy</t>
  </si>
  <si>
    <t xml:space="preserve">https://arxiv.org/abs/1904.12620</t>
  </si>
  <si>
    <t xml:space="preserve">hukkelas2019</t>
  </si>
  <si>
    <t xml:space="preserve">DeepPrivacy: A Generative Adversarial Network for Face Anonymization</t>
  </si>
  <si>
    <t xml:space="preserve">Håkon Hukkelås, Rudolf Mester, Frank Lindseth</t>
  </si>
  <si>
    <t xml:space="preserve">ISVC</t>
  </si>
  <si>
    <t xml:space="preserve">FDF (Flickr Diverse Faces, 1.47M faces)</t>
  </si>
  <si>
    <t xml:space="preserve">Progressive-growing conditional GAN</t>
  </si>
  <si>
    <t xml:space="preserve">Conditional GAN that never sees the original face: it generates a new face from seven sparse keypoints and the surrounding background.</t>
  </si>
  <si>
    <t xml:space="preserve">By design no identity information reaches the generator; produced realistic 128×128 faces with a small drop in detection performance on anonymised data.</t>
  </si>
  <si>
    <t xml:space="preserve">Any identity inference from the face region.</t>
  </si>
  <si>
    <t xml:space="preserve">Pose via keypoints, scene context.</t>
  </si>
  <si>
    <t xml:space="preserve">Low resolution; keypoints and background can leak a little identity; expression not preserved.</t>
  </si>
  <si>
    <t xml:space="preserve">GAN, keypoints, inpainting</t>
  </si>
  <si>
    <t xml:space="preserve">https://github.com/hukkelas/DeepPrivacy</t>
  </si>
  <si>
    <t xml:space="preserve">https://arxiv.org/abs/1909.04538</t>
  </si>
  <si>
    <t xml:space="preserve">croft2019</t>
  </si>
  <si>
    <t xml:space="preserve">Differentially Private Obfuscation of Facial Images</t>
  </si>
  <si>
    <t xml:space="preserve">CD-MAKE (Springer LNCS)</t>
  </si>
  <si>
    <t xml:space="preserve">LFW</t>
  </si>
  <si>
    <t xml:space="preserve">Metric-DP mechanism</t>
  </si>
  <si>
    <t xml:space="preserve">Applies a metric-privacy variant of DP to face images so that faces within a distance are indistinguishable.</t>
  </si>
  <si>
    <t xml:space="preserve">Formal indistinguishability with more visual utility than pixel-level DP.</t>
  </si>
  <si>
    <t xml:space="preserve">Re-identification from released face images.</t>
  </si>
  <si>
    <t xml:space="preserve">Distance metric choice defines the guarantee.</t>
  </si>
  <si>
    <t xml:space="preserve">metric privacy, facial obfuscation</t>
  </si>
  <si>
    <t xml:space="preserve">https://doi.org/10.1007/978-3-030-29726-8_15</t>
  </si>
  <si>
    <t xml:space="preserve">grother2019</t>
  </si>
  <si>
    <t xml:space="preserve">Face Recognition Vendor Test Part 3: Demographic Effects</t>
  </si>
  <si>
    <t xml:space="preserve">Patrick Grother, Mei Ngan, Kayee Hanaoka</t>
  </si>
  <si>
    <t xml:space="preserve">NIST Interagency Report 8280</t>
  </si>
  <si>
    <t xml:space="preserve">US government mugshot, visa and border image sets</t>
  </si>
  <si>
    <t xml:space="preserve">189 submitted algorithms</t>
  </si>
  <si>
    <t xml:space="preserve">Evaluates 189 algorithms for false-positive and false-negative differentials across sex, age and race using government image sets.</t>
  </si>
  <si>
    <t xml:space="preserve">False-positive rates 10 to 100 times higher for some demographic groups in many algorithms; the most accurate algorithms showed the smallest differentials.</t>
  </si>
  <si>
    <t xml:space="preserve">Misidentification harm from deployed systems.</t>
  </si>
  <si>
    <t xml:space="preserve">Image sets are US government collections.</t>
  </si>
  <si>
    <t xml:space="preserve">NIST, demographics, false positives</t>
  </si>
  <si>
    <t xml:space="preserve">https://doi.org/10.6028/NIST.IR.8280</t>
  </si>
  <si>
    <t xml:space="preserve">mirjalili2019</t>
  </si>
  <si>
    <t xml:space="preserve">FlowSAN: Privacy-Enhancing Semi-Adversarial Networks to Confound Arbitrary Face-Based Gender Classifiers</t>
  </si>
  <si>
    <t xml:space="preserve">CelebA, MORPH, LFW, MUCT, RaFD</t>
  </si>
  <si>
    <t xml:space="preserve">Autoencoder ensemble; VGG-Face matcher; gender CNNs</t>
  </si>
  <si>
    <t xml:space="preserve">Stacks several semi-adversarial networks trained against diverse gender classifiers so the perturbation generalises to unseen ones.</t>
  </si>
  <si>
    <t xml:space="preserve">Confounded arbitrary gender classifiers better than a single SAN while keeping matching.</t>
  </si>
  <si>
    <t xml:space="preserve">Unknown gender classifiers on shared images.</t>
  </si>
  <si>
    <t xml:space="preserve">Identity matching.</t>
  </si>
  <si>
    <t xml:space="preserve">Perturbations accumulate visible artefacts.</t>
  </si>
  <si>
    <t xml:space="preserve">SAN, ensemble, generalisation</t>
  </si>
  <si>
    <t xml:space="preserve">https://doi.org/10.1109/ACCESS.2019.2924619</t>
  </si>
  <si>
    <t xml:space="preserve">gafni2019</t>
  </si>
  <si>
    <t xml:space="preserve">Live Face De-Identification in Video</t>
  </si>
  <si>
    <t xml:space="preserve">Oran Gafni, Lior Wolf, Yaniv Taigman</t>
  </si>
  <si>
    <t xml:space="preserve">LFW, VGGFace2 videos, FaceForensics</t>
  </si>
  <si>
    <t xml:space="preserve">Encoder-decoder with identity network; ArcFace and FaceNet for evaluation</t>
  </si>
  <si>
    <t xml:space="preserve">Feed-forward encoder-decoder that pushes the identity embedding away from the original while preserving pose, expression and lighting, frame by frame in real time.</t>
  </si>
  <si>
    <t xml:space="preserve">Real-time de-identified video judged natural by humans; recognition rates fell to near chance for the tested networks.</t>
  </si>
  <si>
    <t xml:space="preserve">Automated face recognition on video.</t>
  </si>
  <si>
    <t xml:space="preserve">Expression, pose, lip movement.</t>
  </si>
  <si>
    <t xml:space="preserve">No formal guarantee; trained against specific recognisers.</t>
  </si>
  <si>
    <t xml:space="preserve">video, feed-forward, expression</t>
  </si>
  <si>
    <t xml:space="preserve">https://arxiv.org/abs/1911.08348</t>
  </si>
  <si>
    <t xml:space="preserve">mai2019</t>
  </si>
  <si>
    <t xml:space="preserve">On the Reconstruction of Face Images from Deep Face Templates</t>
  </si>
  <si>
    <t xml:space="preserve">Guangcan Mai, Kai Cao, Pong C. Yuen, Anil K. Jain</t>
  </si>
  <si>
    <t xml:space="preserve">VGG-Face, Multi-PIE (train); LFW, FRGCv2, color-FERET</t>
  </si>
  <si>
    <t xml:space="preserve">FaceNet templates; NbNet inverter</t>
  </si>
  <si>
    <t xml:space="preserve">Neighbourly de-convolutional network (NbNet) trained on real and synthesised faces to invert deep templates.</t>
  </si>
  <si>
    <t xml:space="preserve">Reconstructions accepted as the genuine user 95.20% of the time at FAR 0.1% on LFW (type-I attack); templates are not safe to store in the clear.</t>
  </si>
  <si>
    <t xml:space="preserve">Attacker with stolen templates and black-box matcher access.</t>
  </si>
  <si>
    <t xml:space="preserve">Trained against specific feature extractors; later GAN and diffusion inverters are stronger.</t>
  </si>
  <si>
    <t xml:space="preserve">NbNet, template inversion, type-I attack</t>
  </si>
  <si>
    <t xml:space="preserve">https://arxiv.org/abs/1703.00832</t>
  </si>
  <si>
    <t xml:space="preserve">jordon2019</t>
  </si>
  <si>
    <t xml:space="preserve">PATE-GAN: Generating Synthetic Data with Differential Privacy Guarantees</t>
  </si>
  <si>
    <t xml:space="preserve">James Jordon, Jinsung Yoon, Mihaela van der Schaar</t>
  </si>
  <si>
    <t xml:space="preserve">Kaggle credit, MAGGIC, UCI, MNIST</t>
  </si>
  <si>
    <t xml:space="preserve">GAN with PATE discriminator</t>
  </si>
  <si>
    <t xml:space="preserve">Uses the PATE teacher-ensemble mechanism as the GAN discriminator so the generator's training is differentially private.</t>
  </si>
  <si>
    <t xml:space="preserve">Better utility than DPGAN at the same budget on tabular and image data.</t>
  </si>
  <si>
    <t xml:space="preserve">Leakage of training samples through a generator.</t>
  </si>
  <si>
    <t xml:space="preserve">Teacher ensemble cost; limited image quality.</t>
  </si>
  <si>
    <t xml:space="preserve">PATE, synthetic data, teacher ensemble</t>
  </si>
  <si>
    <t xml:space="preserve">https://openreview.net/forum?id=S1zk9iRqF7</t>
  </si>
  <si>
    <t xml:space="preserve">fan2019</t>
  </si>
  <si>
    <t xml:space="preserve">Practical Image Obfuscation with Provable Privacy</t>
  </si>
  <si>
    <t xml:space="preserve">Liyue Fan</t>
  </si>
  <si>
    <t xml:space="preserve">IEEE ICME</t>
  </si>
  <si>
    <t xml:space="preserve">AT&amp;T faces and other image sets</t>
  </si>
  <si>
    <t xml:space="preserve">SVD perturbation</t>
  </si>
  <si>
    <t xml:space="preserve">Extends DP pixelization with SVD-based perturbation to keep more structure under the same privacy budget.</t>
  </si>
  <si>
    <t xml:space="preserve">Better utility than DP-Pix at matched epsilon on face and other images.</t>
  </si>
  <si>
    <t xml:space="preserve">Inference from released images with a formal bound.</t>
  </si>
  <si>
    <t xml:space="preserve">Moderate visual utility.</t>
  </si>
  <si>
    <t xml:space="preserve">Guarantee still tied to a small pixel neighbourhood.</t>
  </si>
  <si>
    <t xml:space="preserve">DP-SVD, pixelization, provable</t>
  </si>
  <si>
    <t xml:space="preserve">https://doi.org/10.1109/ICME.2019.00140</t>
  </si>
  <si>
    <t xml:space="preserve">terhorst2019</t>
  </si>
  <si>
    <t xml:space="preserve">Suppressing Gender and Age in Face Templates Using Incremental Variable Elimination</t>
  </si>
  <si>
    <t xml:space="preserve">Philipp Terhörst, Naser Damer, Florian Kirchbuchner, Arjan Kuijper</t>
  </si>
  <si>
    <t xml:space="preserve">ICB</t>
  </si>
  <si>
    <t xml:space="preserve">Iteratively removes template dimensions most predictive of gender and age while monitoring recognition.</t>
  </si>
  <si>
    <t xml:space="preserve">Attribute prediction reduced substantially at small recognition cost, working on the template rather than the image.</t>
  </si>
  <si>
    <t xml:space="preserve">Attribute inference from stored templates.</t>
  </si>
  <si>
    <t xml:space="preserve">Linear view of attributes; later attacks recover them.</t>
  </si>
  <si>
    <t xml:space="preserve">template level, feature elimination</t>
  </si>
  <si>
    <t xml:space="preserve">https://doi.org/10.1109/ICB45695.2019.8987331</t>
  </si>
  <si>
    <t xml:space="preserve">sun2018b</t>
  </si>
  <si>
    <t xml:space="preserve">A Hybrid Model for Identity Obfuscation by Face Replacement</t>
  </si>
  <si>
    <t xml:space="preserve">Qianru Sun, Ayush Tewari, Weipeng Xu, Mario Fritz, Christian Theobalt, Bernt Schiele</t>
  </si>
  <si>
    <t xml:space="preserve">PIPA, CelebA</t>
  </si>
  <si>
    <t xml:space="preserve">3D morphable model + refinement GAN</t>
  </si>
  <si>
    <t xml:space="preserve">Fits a parametric 3D face model, alters identity parameters, renders and then refines with a GAN.</t>
  </si>
  <si>
    <t xml:space="preserve">Explicit control of how far the new identity is from the original while keeping expression and pose.</t>
  </si>
  <si>
    <t xml:space="preserve">Expression, pose, lighting.</t>
  </si>
  <si>
    <t xml:space="preserve">Depends on 3DMM fitting quality; artefacts at extreme poses.</t>
  </si>
  <si>
    <t xml:space="preserve">3D morphable model, face replacement, GAN</t>
  </si>
  <si>
    <t xml:space="preserve">https://arxiv.org/abs/1804.04779</t>
  </si>
  <si>
    <t xml:space="preserve">xie2018</t>
  </si>
  <si>
    <t xml:space="preserve">Differentially Private Generative Adversarial Network</t>
  </si>
  <si>
    <t xml:space="preserve">Liyang Xie, Kaixiang Lin, Shu Wang, Fei Wang, Jiayu Zhou</t>
  </si>
  <si>
    <t xml:space="preserve">MNIST, MIMIC-III</t>
  </si>
  <si>
    <t xml:space="preserve">GAN</t>
  </si>
  <si>
    <t xml:space="preserve">Adds calibrated noise to discriminator gradients during GAN training so generated samples carry a DP guarantee.</t>
  </si>
  <si>
    <t xml:space="preserve">Synthetic images and health records with formal privacy at reduced fidelity.</t>
  </si>
  <si>
    <t xml:space="preserve">Synthetic data utility (reduced).</t>
  </si>
  <si>
    <t xml:space="preserve">Poor image quality at strong budgets.</t>
  </si>
  <si>
    <t xml:space="preserve">DPGAN, synthetic data</t>
  </si>
  <si>
    <t xml:space="preserve">https://arxiv.org/abs/1802.06739</t>
  </si>
  <si>
    <t xml:space="preserve">jindal2018</t>
  </si>
  <si>
    <t xml:space="preserve">Face Template Protection Using Deep Convolutional Neural Network</t>
  </si>
  <si>
    <t xml:space="preserve">Arun Kumar Jindal, Srinivas Chalamala, Santosh Kumar Jami</t>
  </si>
  <si>
    <t xml:space="preserve">CMU-PIE, FEI, Color FERET</t>
  </si>
  <si>
    <t xml:space="preserve">VGG-Face features + CNN</t>
  </si>
  <si>
    <t xml:space="preserve">Random projection of deep features to binary codes followed by hashing, with a CNN trained to be robust to intra-class variation.</t>
  </si>
  <si>
    <t xml:space="preserve">Improved robustness over deep secure encoding on standard face sets.</t>
  </si>
  <si>
    <t xml:space="preserve">Stolen-token scenario weakens security.</t>
  </si>
  <si>
    <t xml:space="preserve">binary codes, random projection, hashing</t>
  </si>
  <si>
    <t xml:space="preserve">https://doi.org/10.1109/CVPRW.2018.00087</t>
  </si>
  <si>
    <t xml:space="preserve">buolamwini2018</t>
  </si>
  <si>
    <t xml:space="preserve">Gender Shades: Intersectional Accuracy Disparities in Commercial Gender Classification</t>
  </si>
  <si>
    <t xml:space="preserve">Joy Buolamwini, Timnit Gebru</t>
  </si>
  <si>
    <t xml:space="preserve">FAT* (ACM FAccT)</t>
  </si>
  <si>
    <t xml:space="preserve">Pilot Parliaments Benchmark (PPB)</t>
  </si>
  <si>
    <t xml:space="preserve">Microsoft, IBM, Face++ gender classifiers</t>
  </si>
  <si>
    <t xml:space="preserve">Audits three commercial gender classifiers on a balanced dataset stratified by skin type and gender.</t>
  </si>
  <si>
    <t xml:space="preserve">Error rates up to 34.7% for darker-skinned women versus at most 0.8% for lighter-skinned men.</t>
  </si>
  <si>
    <t xml:space="preserve">Disparate harm from face analysis.</t>
  </si>
  <si>
    <t xml:space="preserve">Gender classification, not identification; vendors updated afterwards.</t>
  </si>
  <si>
    <t xml:space="preserve">audit, bias, commercial systems</t>
  </si>
  <si>
    <t xml:space="preserve">https://proceedings.mlr.press/v81/buolamwini18a.html</t>
  </si>
  <si>
    <t xml:space="preserve">gomez2018</t>
  </si>
  <si>
    <t xml:space="preserve">General Framework to Evaluate Unlinkability in Biometric Template Protection Systems</t>
  </si>
  <si>
    <t xml:space="preserve">Marta Gomez-Barrero, Javier Galbally, Christian Rathgeb, Christoph Busch</t>
  </si>
  <si>
    <t xml:space="preserve">Face, iris and fingerprint benchmarks</t>
  </si>
  <si>
    <t xml:space="preserve">Bloom-filter and other protected templates</t>
  </si>
  <si>
    <t xml:space="preserve">Defines local and global unlinkability measures from mated and non-mated score distributions of protected templates.</t>
  </si>
  <si>
    <t xml:space="preserve">Became the standard way to report unlinkability in template protection papers.</t>
  </si>
  <si>
    <t xml:space="preserve">Cross-matching templates across databases.</t>
  </si>
  <si>
    <t xml:space="preserve">Not applicable; an evaluation method.</t>
  </si>
  <si>
    <t xml:space="preserve">Score-based; does not capture all inversion risks.</t>
  </si>
  <si>
    <t xml:space="preserve">unlinkability, evaluation, metric</t>
  </si>
  <si>
    <t xml:space="preserve">https://doi.org/10.1109/TIFS.2017.2788000</t>
  </si>
  <si>
    <t xml:space="preserve">fan2018</t>
  </si>
  <si>
    <t xml:space="preserve">Image Pixelization with Differential Privacy</t>
  </si>
  <si>
    <t xml:space="preserve">IFIP DBSec</t>
  </si>
  <si>
    <t xml:space="preserve">AT&amp;T (ORL) faces and other image sets</t>
  </si>
  <si>
    <t xml:space="preserve">Pixelization with Laplace noise</t>
  </si>
  <si>
    <t xml:space="preserve">Extends pixelization with Laplace noise under an m-neighbourhood notion of differential privacy over images.</t>
  </si>
  <si>
    <t xml:space="preserve">First formal DP guarantee for image obfuscation; at useful privacy budgets the images are heavily degraded.</t>
  </si>
  <si>
    <t xml:space="preserve">Any inference from the released image, with a formal bound.</t>
  </si>
  <si>
    <t xml:space="preserve">Low at strong privacy levels.</t>
  </si>
  <si>
    <t xml:space="preserve">The neighbourhood definition is small; guarantees do not translate into recognition rates that users can interpret.</t>
  </si>
  <si>
    <t xml:space="preserve">differential privacy, pixelization</t>
  </si>
  <si>
    <t xml:space="preserve">https://doi.org/10.1007/978-3-319-95729-6_10</t>
  </si>
  <si>
    <t xml:space="preserve">zhou2018</t>
  </si>
  <si>
    <t xml:space="preserve">Invisible Mask: Practical Attacks on Face Recognition with Infrared</t>
  </si>
  <si>
    <t xml:space="preserve">Zhe Zhou, Di Tang, Xiaofeng Wang, Weili Han, Xiangyu Liu, Kehuan Zhang</t>
  </si>
  <si>
    <t xml:space="preserve">Infrared LEDs hidden in a cap project adversarial light patterns invisible to people but captured by cameras.</t>
  </si>
  <si>
    <t xml:space="preserve">Over 70% success in finding infrared-realisable adversarial examples; demonstrated impersonation against a commercial recogniser.</t>
  </si>
  <si>
    <t xml:space="preserve">Camera-based recognition, especially authentication.</t>
  </si>
  <si>
    <t xml:space="preserve">Wearer looks normal.</t>
  </si>
  <si>
    <t xml:space="preserve">Requires a target model to optimise against; IR-filtered cameras defeat it.</t>
  </si>
  <si>
    <t xml:space="preserve">physical, infrared, LED, impersonation</t>
  </si>
  <si>
    <t xml:space="preserve">https://arxiv.org/abs/1803.04683</t>
  </si>
  <si>
    <t xml:space="preserve">ren2018</t>
  </si>
  <si>
    <t xml:space="preserve">Learning to Anonymize Faces for Privacy Preserving Action Detection</t>
  </si>
  <si>
    <t xml:space="preserve">Zhongzheng Ren, Yong Jae Lee, Michael S. Ryoo</t>
  </si>
  <si>
    <t xml:space="preserve">DALY, JHMDB (action detection)</t>
  </si>
  <si>
    <t xml:space="preserve">Face modifier GAN; face classifier; action detector in the loop</t>
  </si>
  <si>
    <t xml:space="preserve">Trains a face modifier and a face recogniser adversarially while a downstream action detector is trained on the modified video.</t>
  </si>
  <si>
    <t xml:space="preserve">Anonymised video retained action-detection accuracy while recognition on the modified faces dropped sharply.</t>
  </si>
  <si>
    <t xml:space="preserve">Identity recognition in video used for analytics.</t>
  </si>
  <si>
    <t xml:space="preserve">Action detection, by construction.</t>
  </si>
  <si>
    <t xml:space="preserve">Utility is task-specific; the recogniser in the loop bounds what the anonymiser learns to defeat.</t>
  </si>
  <si>
    <t xml:space="preserve">adversarial training, action recognition, video</t>
  </si>
  <si>
    <t xml:space="preserve">https://arxiv.org/abs/1803.11556</t>
  </si>
  <si>
    <t xml:space="preserve">sun2018a</t>
  </si>
  <si>
    <t xml:space="preserve">Natural and Effective Obfuscation by Head Inpainting</t>
  </si>
  <si>
    <t xml:space="preserve">Qianru Sun, Liqian Ma, Seong Joon Oh, Luc Van Gool, Bernt Schiele, Mario Fritz</t>
  </si>
  <si>
    <t xml:space="preserve">PIPA (People In Photo Albums)</t>
  </si>
  <si>
    <t xml:space="preserve">Landmark generator + inpainting GAN; person recogniser for evaluation</t>
  </si>
  <si>
    <t xml:space="preserve">Two-stage network: generate facial landmarks conditioned on context, then inpaint a new head consistent with the scene.</t>
  </si>
  <si>
    <t xml:space="preserve">Reduced recognition far more than blur while producing natural images; landmark stage allowed control over pose.</t>
  </si>
  <si>
    <t xml:space="preserve">Person recognition on social-media photos.</t>
  </si>
  <si>
    <t xml:space="preserve">Scene realism and pose.</t>
  </si>
  <si>
    <t xml:space="preserve">Resolution and identity control limited; evaluated against 2018 recognisers.</t>
  </si>
  <si>
    <t xml:space="preserve">inpainting, landmarks, GAN</t>
  </si>
  <si>
    <t xml:space="preserve">https://arxiv.org/abs/1711.09001</t>
  </si>
  <si>
    <t xml:space="preserve">boddeti2018</t>
  </si>
  <si>
    <t xml:space="preserve">Secure Face Matching Using Fully Homomorphic Encryption</t>
  </si>
  <si>
    <t xml:space="preserve">Vishnu Naresh Boddeti</t>
  </si>
  <si>
    <t xml:space="preserve">IEEE BTAS</t>
  </si>
  <si>
    <t xml:space="preserve">LFW, IJB-A</t>
  </si>
  <si>
    <t xml:space="preserve">Deep face features; Fan-Vercauteren FHE</t>
  </si>
  <si>
    <t xml:space="preserve">Quantises deep face features and computes match scores under fully homomorphic encryption.</t>
  </si>
  <si>
    <t xml:space="preserve">Encrypted matching of 512-dimensional deep templates with negligible accuracy loss and practical latency for 1:1.</t>
  </si>
  <si>
    <t xml:space="preserve">Server or database learning the templates.</t>
  </si>
  <si>
    <t xml:space="preserve">Verification accuracy preserved.</t>
  </si>
  <si>
    <t xml:space="preserve">1:N search too slow without further work (see HERS).</t>
  </si>
  <si>
    <t xml:space="preserve">FHE, deep features, matching</t>
  </si>
  <si>
    <t xml:space="preserve">https://github.com/human-analysis/secure-face-matching</t>
  </si>
  <si>
    <t xml:space="preserve">https://arxiv.org/abs/1805.00577</t>
  </si>
  <si>
    <t xml:space="preserve">mirjalili2018</t>
  </si>
  <si>
    <t xml:space="preserve">Semi-Adversarial Networks: Convolutional Autoencoders for Imparting Privacy to Face Images</t>
  </si>
  <si>
    <t xml:space="preserve">Vahid Mirjalili, Sebastian Raschka, Anoop Namboodiri, Arun Ross</t>
  </si>
  <si>
    <t xml:space="preserve">CelebA, MORPH, MUCT, LFW</t>
  </si>
  <si>
    <t xml:space="preserve">Convolutional autoencoder; VGG-Face matcher; gender CNNs</t>
  </si>
  <si>
    <t xml:space="preserve">Autoencoder trained with an auxiliary matcher (to preserve) and gender classifier (to confuse).</t>
  </si>
  <si>
    <t xml:space="preserve">Generalised to unseen gender classifiers better than per-classifier perturbation.</t>
  </si>
  <si>
    <t xml:space="preserve">Unseen attribute classifiers.</t>
  </si>
  <si>
    <t xml:space="preserve">Single attribute; image-level artefacts.</t>
  </si>
  <si>
    <t xml:space="preserve">SAN, autoencoder, gender</t>
  </si>
  <si>
    <t xml:space="preserve">https://arxiv.org/abs/1712.00321</t>
  </si>
  <si>
    <t xml:space="preserve">wu2018</t>
  </si>
  <si>
    <t xml:space="preserve">Towards Privacy-Preserving Visual Recognition via Adversarial Training: A Pilot Study</t>
  </si>
  <si>
    <t xml:space="preserve">Zhenyu Wu, Zhangyang Wang, Zhaowen Wang, Hailin Jin</t>
  </si>
  <si>
    <t xml:space="preserve">SBU Kinship, UCF101, VISPR</t>
  </si>
  <si>
    <t xml:space="preserve">Degradation network; C3D/ResNet utility; identity CNN adversary</t>
  </si>
  <si>
    <t xml:space="preserve">Learns an image degradation jointly with a utility model and an adversarial privacy model so the degraded video supports action recognition but defeats identity and attribute inference.</t>
  </si>
  <si>
    <t xml:space="preserve">Learned degradations beat downsampling and blur on the utility-privacy frontier.</t>
  </si>
  <si>
    <t xml:space="preserve">Identity and attribute inference from shared video.</t>
  </si>
  <si>
    <t xml:space="preserve">Action recognition.</t>
  </si>
  <si>
    <t xml:space="preserve">Privacy measured against the attackers in the loop only.</t>
  </si>
  <si>
    <t xml:space="preserve">learned degradation, adversarial training, utility-privacy</t>
  </si>
  <si>
    <t xml:space="preserve">https://arxiv.org/abs/1807.08379</t>
  </si>
  <si>
    <t xml:space="preserve">meden2018</t>
  </si>
  <si>
    <t xml:space="preserve">k-Same-Net: k-Anonymity with Generative Deep Neural Networks for Face Deidentification</t>
  </si>
  <si>
    <t xml:space="preserve">Blaž Meden, Žiga Emeršič, Vitomir Štruc, Peter Peer</t>
  </si>
  <si>
    <t xml:space="preserve">Entropy</t>
  </si>
  <si>
    <t xml:space="preserve">XM2VTS</t>
  </si>
  <si>
    <t xml:space="preserve">Generative neural network (k-Same-Net); VGG-Face for evaluation</t>
  </si>
  <si>
    <t xml:space="preserve">Combines k-Same's k-anonymity with a generative network that synthesises the surrogate face, avoiding pixel averaging artefacts.</t>
  </si>
  <si>
    <t xml:space="preserve">Natural-looking surrogates that keep the k-anonymity guarantee; retained expression better than k-Same.</t>
  </si>
  <si>
    <t xml:space="preserve">Face recognition on released data.</t>
  </si>
  <si>
    <t xml:space="preserve">Expression and attribute utility measured; better than pixel k-Same.</t>
  </si>
  <si>
    <t xml:space="preserve">Generator limited to low resolution; still set-based.</t>
  </si>
  <si>
    <t xml:space="preserve">k-Same, GAN, k-anonymity</t>
  </si>
  <si>
    <t xml:space="preserve">https://doi.org/10.3390/e20010060</t>
  </si>
  <si>
    <t xml:space="preserve">oh2017</t>
  </si>
  <si>
    <t xml:space="preserve">Adversarial Image Perturbation for Privacy Protection: A Game Theory Perspective</t>
  </si>
  <si>
    <t xml:space="preserve">Seong Joon Oh, Mario Fritz, Bernt Schiele</t>
  </si>
  <si>
    <t xml:space="preserve">PIPA</t>
  </si>
  <si>
    <t xml:space="preserve">ResNet person recogniser (head and body cues)</t>
  </si>
  <si>
    <t xml:space="preserve">Models user and recogniser as players: the user perturbs, the recogniser may adapt (e.g., train on perturbed data). Studies equilibria.</t>
  </si>
  <si>
    <t xml:space="preserve">Showed that a recogniser who knows the perturbation strategy recovers much accuracy; users must randomise to keep any advantage. An early warning of the arms race.</t>
  </si>
  <si>
    <t xml:space="preserve">Adaptive person recognisers on social media.</t>
  </si>
  <si>
    <t xml:space="preserve">Perturbations kept small.</t>
  </si>
  <si>
    <t xml:space="preserve">Analysis limited to 2017 architectures.</t>
  </si>
  <si>
    <t xml:space="preserve">game theory, perturbation, recogniser adaptation</t>
  </si>
  <si>
    <t xml:space="preserve">https://arxiv.org/abs/1703.09471</t>
  </si>
  <si>
    <t xml:space="preserve">brkic2017</t>
  </si>
  <si>
    <t xml:space="preserve">I Know That Person: Generative Full Body and Face De-identification of People in Images</t>
  </si>
  <si>
    <t xml:space="preserve">Karla Brkić, Ivan Sikirić, Tomislav Hrkać, Zoran Kalafatić</t>
  </si>
  <si>
    <t xml:space="preserve">Own surveillance-style images; ClothingAttributes</t>
  </si>
  <si>
    <t xml:space="preserve">Segmentation + generative replacement</t>
  </si>
  <si>
    <t xml:space="preserve">Segments people and replaces face and body with generated appearance, keeping pose.</t>
  </si>
  <si>
    <t xml:space="preserve">Early demonstration that generative replacement can de-identify the whole person, not just the face.</t>
  </si>
  <si>
    <t xml:space="preserve">Recognition by face and by clothing or body.</t>
  </si>
  <si>
    <t xml:space="preserve">Pose and scene.</t>
  </si>
  <si>
    <t xml:space="preserve">Low resolution; identity leakage through unreplaced cues.</t>
  </si>
  <si>
    <t xml:space="preserve">GAN, full body, de-identification</t>
  </si>
  <si>
    <t xml:space="preserve">https://doi.org/10.1109/CVPRW.2017.173</t>
  </si>
  <si>
    <t xml:space="preserve">shokri2017</t>
  </si>
  <si>
    <t xml:space="preserve">Membership Inference Attacks Against Machine Learning Models</t>
  </si>
  <si>
    <t xml:space="preserve">Reza Shokri, Marco Stronati, Congzheng Song, Vitaly Shmatikov</t>
  </si>
  <si>
    <t xml:space="preserve">CIFAR, Purchase, Texas hospital, MNIST, UCI Adult</t>
  </si>
  <si>
    <t xml:space="preserve">Google Prediction API, Amazon ML, CNNs</t>
  </si>
  <si>
    <t xml:space="preserve">Shadow models trained to mimic a target let an attacker tell whether a record was in the target's training set from its outputs.</t>
  </si>
  <si>
    <t xml:space="preserve">Black-box membership inference against commercial ML-as-a-service models; overfitting drives leakage.</t>
  </si>
  <si>
    <t xml:space="preserve">Proving a person's data was used to train a model.</t>
  </si>
  <si>
    <t xml:space="preserve">Later work shows weaker attacks on well-generalised models; face-specific variants followed.</t>
  </si>
  <si>
    <t xml:space="preserve">membership inference, auditing, foundational</t>
  </si>
  <si>
    <t xml:space="preserve">https://arxiv.org/abs/1610.05820</t>
  </si>
  <si>
    <t xml:space="preserve">ryoo2017</t>
  </si>
  <si>
    <t xml:space="preserve">Privacy-Preserving Human Activity Recognition from Extreme Low Resolution</t>
  </si>
  <si>
    <t xml:space="preserve">Michael S. Ryoo, Brandon Rothrock, Charles Fleming, Hyun Jong Yang</t>
  </si>
  <si>
    <t xml:space="preserve">HMDB, DogCentric at 16×12</t>
  </si>
  <si>
    <t xml:space="preserve">Two-stream CNN with inverse super-resolution</t>
  </si>
  <si>
    <t xml:space="preserve">Recognises human activities from 16×12 pixel video using inverse super-resolution to learn from multiple low-resolution transforms.</t>
  </si>
  <si>
    <t xml:space="preserve">Activity recognition stayed useful at resolutions where faces are unrecognisable, motivating low-resolution cameras as privacy by design.</t>
  </si>
  <si>
    <t xml:space="preserve">Identification from in-home or workplace cameras.</t>
  </si>
  <si>
    <t xml:space="preserve">Activity recognition.</t>
  </si>
  <si>
    <t xml:space="preserve">Fine-grained tasks impossible; gait and body shape can still identify.</t>
  </si>
  <si>
    <t xml:space="preserve">extreme low resolution, activity recognition, inverse super-resolution</t>
  </si>
  <si>
    <t xml:space="preserve">https://ojs.aaai.org/index.php/AAAI/article/view/11233</t>
  </si>
  <si>
    <t xml:space="preserve">mirjalili2017</t>
  </si>
  <si>
    <t xml:space="preserve">Soft Biometric Privacy: Retaining Biometric Utility of Face Images While Perturbing Gender</t>
  </si>
  <si>
    <t xml:space="preserve">Vahid Mirjalili, Arun Ross</t>
  </si>
  <si>
    <t xml:space="preserve">MUCT, LFW, CelebA</t>
  </si>
  <si>
    <t xml:space="preserve">Commercial face matcher; IntraFace gender classifier</t>
  </si>
  <si>
    <t xml:space="preserve">Perturbs face images so gender classifiers fail while a face matcher still verifies identity.</t>
  </si>
  <si>
    <t xml:space="preserve">Gender prediction dropped toward chance with small loss in matching accuracy.</t>
  </si>
  <si>
    <t xml:space="preserve">Automated attribute inference from stored face images.</t>
  </si>
  <si>
    <t xml:space="preserve">Classifier-specific perturbations; later shown recoverable.</t>
  </si>
  <si>
    <t xml:space="preserve">gender, perturbation, matching utility</t>
  </si>
  <si>
    <t xml:space="preserve">https://doi.org/10.1109/BTAS.2017.8272743</t>
  </si>
  <si>
    <t xml:space="preserve">sharif2016</t>
  </si>
  <si>
    <t xml:space="preserve">Accessorize to a Crime: Real and Stealthy Attacks on State-of-the-Art Face Recognition</t>
  </si>
  <si>
    <t xml:space="preserve">ACM CCS</t>
  </si>
  <si>
    <t xml:space="preserve">PubFig; own photographs</t>
  </si>
  <si>
    <t xml:space="preserve">VGG-Face based DNNs</t>
  </si>
  <si>
    <t xml:space="preserve">Prints adversarial patterns onto eyeglass frames so a wearer either evades recognition (dodging) or is recognised as a chosen target (impersonation).</t>
  </si>
  <si>
    <t xml:space="preserve">Physically realised attacks on a deep recogniser; high dodging success and impersonation success above 80% for some target pairs.</t>
  </si>
  <si>
    <t xml:space="preserve">White-box and, in follow-ups, black-box deep face recognition.</t>
  </si>
  <si>
    <t xml:space="preserve">Wearer looks like a person in glasses.</t>
  </si>
  <si>
    <t xml:space="preserve">Needed model access originally; patterns are visibly odd; later systems retrained.</t>
  </si>
  <si>
    <t xml:space="preserve">physical, eyeglasses, dodging, impersonation</t>
  </si>
  <si>
    <t xml:space="preserve">https://doi.org/10.1145/2976749.2978392</t>
  </si>
  <si>
    <t xml:space="preserve">ribaric2016</t>
  </si>
  <si>
    <t xml:space="preserve">De-identification for Privacy Protection in Multimedia Content: A Survey</t>
  </si>
  <si>
    <t xml:space="preserve">Slobodan Ribaric, Aladdin Ariyaeeinia, Nikola Pavesic</t>
  </si>
  <si>
    <t xml:space="preserve">Signal Processing: Image Communication</t>
  </si>
  <si>
    <t xml:space="preserve">Survey covering de-identification of face, gait, voice, text and soft biometrics across images, video and audio.</t>
  </si>
  <si>
    <t xml:space="preserve">Framed de-identification as a multimodal problem and set out evaluation criteria (naturalness, reversibility, utility) later surveys reuse.</t>
  </si>
  <si>
    <t xml:space="preserve">Identification from any biometric or non-biometric identifier in media.</t>
  </si>
  <si>
    <t xml:space="preserve">Discussed as a design criterion.</t>
  </si>
  <si>
    <t xml:space="preserve">Written just before deep generative de-identification took over.</t>
  </si>
  <si>
    <t xml:space="preserve">survey, de-identification, multimodal</t>
  </si>
  <si>
    <t xml:space="preserve">https://doi.org/10.1016/j.image.2016.05.020</t>
  </si>
  <si>
    <t xml:space="preserve">abadi2016</t>
  </si>
  <si>
    <t xml:space="preserve">Deep Learning with Differential Privacy</t>
  </si>
  <si>
    <t xml:space="preserve">Martín Abadi, Andy Chu, Ian Goodfellow, H. Brendan McMahan, Ilya Mironov, Kunal Talwar, Li Zhang</t>
  </si>
  <si>
    <t xml:space="preserve">MNIST, CIFAR-10</t>
  </si>
  <si>
    <t xml:space="preserve">CNNs</t>
  </si>
  <si>
    <t xml:space="preserve">DP-SGD: clip per-example gradients and add Gaussian noise, with a moments accountant to track the privacy budget.</t>
  </si>
  <si>
    <t xml:space="preserve">Trained image classifiers with formal DP at modest accuracy cost; the standard for DP training of face and other models.</t>
  </si>
  <si>
    <t xml:space="preserve">Membership and reconstruction attacks on trained models.</t>
  </si>
  <si>
    <t xml:space="preserve">Model accuracy (reduced).</t>
  </si>
  <si>
    <t xml:space="preserve">Accuracy gap widens on large models and fine-grained tasks such as face recognition.</t>
  </si>
  <si>
    <t xml:space="preserve">DP-SGD, moments accountant, training</t>
  </si>
  <si>
    <t xml:space="preserve">https://github.com/tensorflow/privacy</t>
  </si>
  <si>
    <t xml:space="preserve">https://arxiv.org/abs/1607.00133</t>
  </si>
  <si>
    <t xml:space="preserve">pandey2016</t>
  </si>
  <si>
    <t xml:space="preserve">Deep Secure Encoding for Face Template Protection</t>
  </si>
  <si>
    <t xml:space="preserve">Rohit Kumar Pandey, Yingbo Zhou, Bhargava Urala Kota, Venu Govindaraju</t>
  </si>
  <si>
    <t xml:space="preserve">CMU-PIE, Extended Yale B, Multi-PIE</t>
  </si>
  <si>
    <t xml:space="preserve">CNN + SHA-512</t>
  </si>
  <si>
    <t xml:space="preserve">Trains a CNN to map a user's face images to a random binary code that is then cryptographically hashed, so only the hash is stored.</t>
  </si>
  <si>
    <t xml:space="preserve">High matching accuracy with a stored template that is a one-way hash.</t>
  </si>
  <si>
    <t xml:space="preserve">Template database theft.</t>
  </si>
  <si>
    <t xml:space="preserve">Per-user training; small closed datasets.</t>
  </si>
  <si>
    <t xml:space="preserve">binary codes, hashing, CNN</t>
  </si>
  <si>
    <t xml:space="preserve">https://doi.org/10.1109/CVPRW.2016.17</t>
  </si>
  <si>
    <t xml:space="preserve">mcpherson2016</t>
  </si>
  <si>
    <t xml:space="preserve">Defeating Image Obfuscation with Deep Learning</t>
  </si>
  <si>
    <t xml:space="preserve">Richard McPherson, Reza Shokri, Vitaly Shmatikov</t>
  </si>
  <si>
    <t xml:space="preserve">MNIST, CIFAR-10, AT&amp;T faces, FaceScrub</t>
  </si>
  <si>
    <t xml:space="preserve">CNN classifiers trained on obfuscated data</t>
  </si>
  <si>
    <t xml:space="preserve">Trains recognisers directly on obfuscated images (mosaicing, YouTube-style blur, P3 encryption) to identify faces, digits and objects.</t>
  </si>
  <si>
    <t xml:space="preserve">Identification far above chance on all three obfuscations, including heavy pixelation; showed obfuscation designed for human eyes does not stop machines.</t>
  </si>
  <si>
    <t xml:space="preserve">Anyone with obfuscated images and a labelled reference set.</t>
  </si>
  <si>
    <t xml:space="preserve">Closed-set recognition; still the standard citation against blur and pixelation.</t>
  </si>
  <si>
    <t xml:space="preserve">pixelation, blur, P3, recognition</t>
  </si>
  <si>
    <t xml:space="preserve">https://arxiv.org/abs/1609.00408</t>
  </si>
  <si>
    <t xml:space="preserve">oh2016</t>
  </si>
  <si>
    <t xml:space="preserve">Faceless Person Recognition: Privacy Implications in Social Media</t>
  </si>
  <si>
    <t xml:space="preserve">Seong Joon Oh, Rodrigo Benenson, Mario Fritz, Bernt Schiele</t>
  </si>
  <si>
    <t xml:space="preserve">AlexNet-based person recogniser</t>
  </si>
  <si>
    <t xml:space="preserve">Recognises people in social-media photos from body, clothing and scene even when faces are blurred or blacked out.</t>
  </si>
  <si>
    <t xml:space="preserve">Substantial recognition with only a handful of tagged examples and no visible face; obfuscating the face alone protects less than assumed.</t>
  </si>
  <si>
    <t xml:space="preserve">Recognition from non-face cues.</t>
  </si>
  <si>
    <t xml:space="preserve">Studied a single album domain; motivated full-body anonymisation.</t>
  </si>
  <si>
    <t xml:space="preserve">person recognition, context, blur</t>
  </si>
  <si>
    <t xml:space="preserve">https://arxiv.org/abs/1607.08438</t>
  </si>
  <si>
    <t xml:space="preserve">zhmoginov2016</t>
  </si>
  <si>
    <t xml:space="preserve">Inverting Face Embeddings with Convolutional Neural Networks</t>
  </si>
  <si>
    <t xml:space="preserve">Andrey Zhmoginov, Mark Sandler</t>
  </si>
  <si>
    <t xml:space="preserve">LFW-scale face sets</t>
  </si>
  <si>
    <t xml:space="preserve">FaceNet embeddings; CNN inverter</t>
  </si>
  <si>
    <t xml:space="preserve">Trains a network to reconstruct a face image from a FaceNet embedding.</t>
  </si>
  <si>
    <t xml:space="preserve">Recognisable reconstructions from 128 numbers, the first public demonstration that deep templates leak appearance.</t>
  </si>
  <si>
    <t xml:space="preserve">Attacker holding stolen embeddings.</t>
  </si>
  <si>
    <t xml:space="preserve">Low resolution; white-box embedding model.</t>
  </si>
  <si>
    <t xml:space="preserve">template inversion, FaceNet</t>
  </si>
  <si>
    <t xml:space="preserve">https://arxiv.org/abs/1606.04189</t>
  </si>
  <si>
    <t xml:space="preserve">guo2016</t>
  </si>
  <si>
    <t xml:space="preserve">MS-Celeb-1M: A Dataset and Benchmark for Large-Scale Face Recognition</t>
  </si>
  <si>
    <t xml:space="preserve">Yandong Guo, Lei Zhang, Yuxiao Hu, Xiaodong He, Jianfeng Gao</t>
  </si>
  <si>
    <t xml:space="preserve">MS-Celeb-1M</t>
  </si>
  <si>
    <t xml:space="preserve">Benchmark for deep recognisers</t>
  </si>
  <si>
    <t xml:space="preserve">Ten million web-scraped images of about 100,000 celebrities as a training benchmark.</t>
  </si>
  <si>
    <t xml:space="preserve">Powered a generation of recognisers; withdrawn by Microsoft in 2019 after the Exposing.ai investigation showed it included non-celebrities and had been used by surveillance vendors. Copies still circulate as MS1M variants.</t>
  </si>
  <si>
    <t xml:space="preserve">Not a protection paper: the canonical example of the consent problem.</t>
  </si>
  <si>
    <t xml:space="preserve">Noisy labels; withdrawn.</t>
  </si>
  <si>
    <t xml:space="preserve">dataset, scraping, withdrawn</t>
  </si>
  <si>
    <t xml:space="preserve">https://arxiv.org/abs/1607.08221</t>
  </si>
  <si>
    <t xml:space="preserve">garvie2016</t>
  </si>
  <si>
    <t xml:space="preserve">The Perpetual Line-Up: Unregulated Police Face Recognition in America</t>
  </si>
  <si>
    <t xml:space="preserve">Clare Garvie, Alvaro Bedoya, Jonathan Frankle</t>
  </si>
  <si>
    <t xml:space="preserve">Georgetown Law Center on Privacy &amp; Technology</t>
  </si>
  <si>
    <t xml:space="preserve">Records from 100+ US agencies</t>
  </si>
  <si>
    <t xml:space="preserve">Records requests to over 100 US police agencies on face recognition use, databases and safeguards.</t>
  </si>
  <si>
    <t xml:space="preserve">Estimated half of American adults were in a law-enforcement face network; found almost no accuracy testing, bias audits or legal limits.</t>
  </si>
  <si>
    <t xml:space="preserve">State use of driver's licence photos for identification.</t>
  </si>
  <si>
    <t xml:space="preserve">US only; snapshot of 2016.</t>
  </si>
  <si>
    <t xml:space="preserve">policy, police, audit</t>
  </si>
  <si>
    <t xml:space="preserve">https://www.perpetuallineup.org</t>
  </si>
  <si>
    <t xml:space="preserve">nandakumar2015</t>
  </si>
  <si>
    <t xml:space="preserve">Biometric Template Protection: Bridging the Performance Gap Between Theory and Practice</t>
  </si>
  <si>
    <t xml:space="preserve">Karthik Nandakumar, Anil K. Jain</t>
  </si>
  <si>
    <t xml:space="preserve">IEEE Signal Processing Magazine</t>
  </si>
  <si>
    <t xml:space="preserve">Survey of feature transformation and biometric cryptosystem approaches with the requirements of irreversibility, unlinkability and revocability.</t>
  </si>
  <si>
    <t xml:space="preserve">Identified the accuracy loss and representation mismatch that kept template protection out of deployment.</t>
  </si>
  <si>
    <t xml:space="preserve">Template database compromise.</t>
  </si>
  <si>
    <t xml:space="preserve">Discussed per scheme.</t>
  </si>
  <si>
    <t xml:space="preserve">Pre-deep-features; the gap it describes narrowed after 2018.</t>
  </si>
  <si>
    <t xml:space="preserve">survey, template protection</t>
  </si>
  <si>
    <t xml:space="preserve">https://doi.org/10.1109/MSP.2015.2427849</t>
  </si>
  <si>
    <t xml:space="preserve">ilia2015</t>
  </si>
  <si>
    <t xml:space="preserve">Face/Off: Preventing Privacy Leakage From Photos in Social Networks</t>
  </si>
  <si>
    <t xml:space="preserve">Panagiotis Ilia, Iasonas Polakis, Elias Athanasopoulos, Federico Maggi, Sotiris Ioannidis</t>
  </si>
  <si>
    <t xml:space="preserve">Facebook photos in user study</t>
  </si>
  <si>
    <t xml:space="preserve">Face recognition for detection; blur</t>
  </si>
  <si>
    <t xml:space="preserve">Blurs the faces of users who have not consented to a photo when it is shown to viewers outside their permitted audience, using face recognition to find them.</t>
  </si>
  <si>
    <t xml:space="preserve">Prototype on a social network with a user study showing acceptance; reframed tagging as an access-control problem.</t>
  </si>
  <si>
    <t xml:space="preserve">Bystanders and friends exposed in others' uploads.</t>
  </si>
  <si>
    <t xml:space="preserve">Photo intact for permitted viewers.</t>
  </si>
  <si>
    <t xml:space="preserve">Relies on recognition to protect against recognition; blur remains weak.</t>
  </si>
  <si>
    <t xml:space="preserve">social networks, per-user blur, access control</t>
  </si>
  <si>
    <t xml:space="preserve">https://doi.org/10.1145/2810103.2813603</t>
  </si>
  <si>
    <t xml:space="preserve">pittaluga2015</t>
  </si>
  <si>
    <t xml:space="preserve">Privacy Preserving Optics for Miniature Vision Sensors</t>
  </si>
  <si>
    <t xml:space="preserve">Francesco Pittaluga, Sanjeev J. Koppal</t>
  </si>
  <si>
    <t xml:space="preserve">Own captured scenes</t>
  </si>
  <si>
    <t xml:space="preserve">Custom optics and sensors</t>
  </si>
  <si>
    <t xml:space="preserve">Designs optical elements and sensors that never capture an identifiable image yet support tasks such as motion or blob detection.</t>
  </si>
  <si>
    <t xml:space="preserve">Demonstrated task-specific optics that defocus or aggregate light so identity is destroyed before digitisation.</t>
  </si>
  <si>
    <t xml:space="preserve">Any leak of captured imagery, including compromised sensors.</t>
  </si>
  <si>
    <t xml:space="preserve">Coarse tasks only.</t>
  </si>
  <si>
    <t xml:space="preserve">Task-specific hardware; low information.</t>
  </si>
  <si>
    <t xml:space="preserve">optics, pre-capture, sensor-level</t>
  </si>
  <si>
    <t xml:space="preserve">https://doi.org/10.1109/CVPR.2015.7298658</t>
  </si>
  <si>
    <t xml:space="preserve">reflectacles2015</t>
  </si>
  <si>
    <t xml:space="preserve">Reflectacles: IR-blocking and reflective privacy eyewear</t>
  </si>
  <si>
    <t xml:space="preserve">Scott Urban (Reflectacles)</t>
  </si>
  <si>
    <t xml:space="preserve">Commercial product</t>
  </si>
  <si>
    <t xml:space="preserve">Infrared CCTV and structured-light sensors</t>
  </si>
  <si>
    <t xml:space="preserve">Eyewear with frames that reflect infrared and lenses that absorb near-infrared, aimed at IR-illuminated CCTV and 3D IR face mapping.</t>
  </si>
  <si>
    <t xml:space="preserve">Blocks the eye region for infrared systems including structured-light phone unlock; no effect on visible-light cameras.</t>
  </si>
  <si>
    <t xml:space="preserve">Near-infrared cameras and IR depth sensors.</t>
  </si>
  <si>
    <t xml:space="preserve">Ordinary glasses to a human.</t>
  </si>
  <si>
    <t xml:space="preserve">Useless against the visible-light cameras that dominate public CCTV and social media.</t>
  </si>
  <si>
    <t xml:space="preserve">physical, infrared, eyewear</t>
  </si>
  <si>
    <t xml:space="preserve">https://www.reflectacles.com</t>
  </si>
  <si>
    <t xml:space="preserve">cao2015</t>
  </si>
  <si>
    <t xml:space="preserve">Towards Making Systems Forget with Machine Unlearning</t>
  </si>
  <si>
    <t xml:space="preserve">Yinzhi Cao, Junfeng Yang</t>
  </si>
  <si>
    <t xml:space="preserve">LensKit, Zozzle, OSN spam, PJScan</t>
  </si>
  <si>
    <t xml:space="preserve">Statistical query learners</t>
  </si>
  <si>
    <t xml:space="preserve">Coins machine unlearning: restructure learning into summations so a training sample's contribution can be subtracted without retraining.</t>
  </si>
  <si>
    <t xml:space="preserve">Exact forgetting for a class of models at a fraction of retraining cost.</t>
  </si>
  <si>
    <t xml:space="preserve">Data whose deletion a user requests but a trained model still encodes.</t>
  </si>
  <si>
    <t xml:space="preserve">Model accuracy retained.</t>
  </si>
  <si>
    <t xml:space="preserve">Does not cover deep networks.</t>
  </si>
  <si>
    <t xml:space="preserve">machine unlearning, summation form, foundational</t>
  </si>
  <si>
    <t xml:space="preserve">https://doi.org/10.1109/SP.2015.35</t>
  </si>
  <si>
    <t xml:space="preserve">padilla2015</t>
  </si>
  <si>
    <t xml:space="preserve">Visual Privacy Protection Methods: A Survey</t>
  </si>
  <si>
    <t xml:space="preserve">José Ramón Padilla-López, Alexandros Andre Chaaraoui, Francisco Flórez-Revuelta</t>
  </si>
  <si>
    <t xml:space="preserve">Expert Systems with Applications</t>
  </si>
  <si>
    <t xml:space="preserve">Survey of visual privacy protection in video: intervention, blind vision, secure processing, redaction (blur, pixelation, masking, encryption, k-Same) and data hiding.</t>
  </si>
  <si>
    <t xml:space="preserve">Organised the pre-deep-learning field into five categories and catalogued the utility loss of each redaction method.</t>
  </si>
  <si>
    <t xml:space="preserve">Human and automated observers of video.</t>
  </si>
  <si>
    <t xml:space="preserve">Discussed per method.</t>
  </si>
  <si>
    <t xml:space="preserve">Pre-dates GAN-based and adversarial methods entirely.</t>
  </si>
  <si>
    <t xml:space="preserve">survey, visual privacy, video</t>
  </si>
  <si>
    <t xml:space="preserve">https://doi.org/10.1016/j.eswa.2015.01.041</t>
  </si>
  <si>
    <t xml:space="preserve">korshunov2013</t>
  </si>
  <si>
    <t xml:space="preserve">Using Warping for Privacy Protection in Video Surveillance</t>
  </si>
  <si>
    <t xml:space="preserve">Pavel Korshunov, Touradj Ebrahimi</t>
  </si>
  <si>
    <t xml:space="preserve">PEViD (Privacy Evaluation Video Dataset)</t>
  </si>
  <si>
    <t xml:space="preserve">Classical recognisers; human raters</t>
  </si>
  <si>
    <t xml:space="preserve">Geometric warping of face regions as a filter that keeps a face visible to humans as a face while defeating recognition; evaluated with crowdsourcing on the PEViD dataset.</t>
  </si>
  <si>
    <t xml:space="preserve">Warping degraded recognition more than blur at comparable perceived intelligibility.</t>
  </si>
  <si>
    <t xml:space="preserve">Automated recognition in surveillance video.</t>
  </si>
  <si>
    <t xml:space="preserve">Scene and body cues stay intact.</t>
  </si>
  <si>
    <t xml:space="preserve">Reversible in part; small evaluation.</t>
  </si>
  <si>
    <t xml:space="preserve">warping, PEViD, crowdsourced evaluation</t>
  </si>
  <si>
    <t xml:space="preserve">https://doi.org/10.1109/ICDSP.2013.6622791</t>
  </si>
  <si>
    <t xml:space="preserve">harvey2010</t>
  </si>
  <si>
    <t xml:space="preserve">CV Dazzle: Camouflage from Face Detection</t>
  </si>
  <si>
    <t xml:space="preserve">Adam Harvey</t>
  </si>
  <si>
    <t xml:space="preserve">Design project (NYU ITP)</t>
  </si>
  <si>
    <t xml:space="preserve">Viola-Jones (OpenCV) detector</t>
  </si>
  <si>
    <t xml:space="preserve">Makeup and hair styling designed to break the Viola-Jones face detector's expectations of the eye and nose bridge region.</t>
  </si>
  <si>
    <t xml:space="preserve">Defeated 2010-era detection in demonstrations and made anti-recognition fashion a public idea.</t>
  </si>
  <si>
    <t xml:space="preserve">Face detection by classical detectors.</t>
  </si>
  <si>
    <t xml:space="preserve">None intended; conspicuous to humans.</t>
  </si>
  <si>
    <t xml:space="preserve">Modern deep detectors are largely immune; the project's own site says so.</t>
  </si>
  <si>
    <t xml:space="preserve">physical, makeup, detection</t>
  </si>
  <si>
    <t xml:space="preserve">https://cvdazzle.com</t>
  </si>
  <si>
    <t xml:space="preserve">osadchy2010</t>
  </si>
  <si>
    <t xml:space="preserve">SCiFI: A System for Secure Face Identification</t>
  </si>
  <si>
    <t xml:space="preserve">Margarita Osadchy, Benny Pinkas, Ayman Jarrous, Boaz Moskovich</t>
  </si>
  <si>
    <t xml:space="preserve">Own face set; FERET</t>
  </si>
  <si>
    <t xml:space="preserve">Index-based facial representation; homomorphic encryption and OT</t>
  </si>
  <si>
    <t xml:space="preserve">A face representation designed for secure computation, matched with homomorphic encryption and oblivious transfer.</t>
  </si>
  <si>
    <t xml:space="preserve">Practical secure identification against a suspect list with a representation robust to illumination and occlusion.</t>
  </si>
  <si>
    <t xml:space="preserve">Server learning who was scanned; client learning the watchlist.</t>
  </si>
  <si>
    <t xml:space="preserve">Identification result only.</t>
  </si>
  <si>
    <t xml:space="preserve">Representation weaker than deep features; setup cost.</t>
  </si>
  <si>
    <t xml:space="preserve">secure computation, face identification, oblivious transfer</t>
  </si>
  <si>
    <t xml:space="preserve">https://doi.org/10.1109/SP.2010.39</t>
  </si>
  <si>
    <t xml:space="preserve">sadeghi2009</t>
  </si>
  <si>
    <t xml:space="preserve">Efficient Privacy-Preserving Face Recognition</t>
  </si>
  <si>
    <t xml:space="preserve">Ahmad-Reza Sadeghi, Thomas Schneider, Immo Wehrenberg</t>
  </si>
  <si>
    <t xml:space="preserve">ICISC</t>
  </si>
  <si>
    <t xml:space="preserve">ORL faces</t>
  </si>
  <si>
    <t xml:space="preserve">Eigenfaces; homomorphic encryption + garbled circuits</t>
  </si>
  <si>
    <t xml:space="preserve">Hybrid protocol combining homomorphic encryption with garbled circuits for the comparison step.</t>
  </si>
  <si>
    <t xml:space="preserve">Cut the online time of Erkin et al. by an order of magnitude.</t>
  </si>
  <si>
    <t xml:space="preserve">Same two-party model as Erkin et al.</t>
  </si>
  <si>
    <t xml:space="preserve">Full recognition result.</t>
  </si>
  <si>
    <t xml:space="preserve">Still Eigenfaces; precomputation heavy.</t>
  </si>
  <si>
    <t xml:space="preserve">garbled circuits, homomorphic encryption</t>
  </si>
  <si>
    <t xml:space="preserve">https://doi.org/10.1007/978-3-642-14423-3_16</t>
  </si>
  <si>
    <t xml:space="preserve">gross2009</t>
  </si>
  <si>
    <t xml:space="preserve">Face De-Identification</t>
  </si>
  <si>
    <t xml:space="preserve">Ralph Gross, Latanya Sweeney, Jeffrey Cohn, Fernando de la Torre, Simon Baker</t>
  </si>
  <si>
    <t xml:space="preserve">Protecting Privacy in Video Surveillance (Springer)</t>
  </si>
  <si>
    <t xml:space="preserve">FERET, CMU Multi-PIE</t>
  </si>
  <si>
    <t xml:space="preserve">PCA recognisers, AAMs</t>
  </si>
  <si>
    <t xml:space="preserve">Book chapter consolidating k-Same, k-Same-Select and k-Same-M with an evaluation of ad hoc methods.</t>
  </si>
  <si>
    <t xml:space="preserve">Documented that pixelation and blur leave faces recognisable at rates far above the 1/k bound of k-Same.</t>
  </si>
  <si>
    <t xml:space="preserve">Face recognition on surveillance stills.</t>
  </si>
  <si>
    <t xml:space="preserve">Pre-deep-learning.</t>
  </si>
  <si>
    <t xml:space="preserve">k-Same, survey chapter, pixelation fails</t>
  </si>
  <si>
    <t xml:space="preserve">https://doi.org/10.1007/978-1-84882-301-3_8</t>
  </si>
  <si>
    <t xml:space="preserve">frome2009</t>
  </si>
  <si>
    <t xml:space="preserve">Large-Scale Privacy Protection in Google Street View</t>
  </si>
  <si>
    <t xml:space="preserve">Andrea Frome, German Cheung, Ahmad Abdulkader, Marco Zennaro, Bo Wu, Alessandro Bissacco, Hartwig Adam, Hartmut Neven, Luc Vincent</t>
  </si>
  <si>
    <t xml:space="preserve">Google Street View imagery</t>
  </si>
  <si>
    <t xml:space="preserve">Sliding-window face and plate detectors</t>
  </si>
  <si>
    <t xml:space="preserve">Detects faces and licence plates in Street View imagery with sliding-window detectors tuned for high recall and blurs them.</t>
  </si>
  <si>
    <t xml:space="preserve">Automatic blurring of faces and plates across the entire Street View corpus; one of the largest privacy deployments in computer vision.</t>
  </si>
  <si>
    <t xml:space="preserve">Identification of bystanders in published imagery.</t>
  </si>
  <si>
    <t xml:space="preserve">Imagery stays usable for navigation.</t>
  </si>
  <si>
    <t xml:space="preserve">Blur is weak against recognisers; misses at high recall targets are unavoidable.</t>
  </si>
  <si>
    <t xml:space="preserve">blur, deployment, faces and plates</t>
  </si>
  <si>
    <t xml:space="preserve">https://doi.org/10.1109/ICCV.2009.5459413</t>
  </si>
  <si>
    <t xml:space="preserve">erkin2009</t>
  </si>
  <si>
    <t xml:space="preserve">Privacy-Preserving Face Recognition</t>
  </si>
  <si>
    <t xml:space="preserve">Zekeriya Erkin, Martin Franz, Jorge Guajardo, Stefan Katzenbeisser, Inald Lagendijk, Tomas Toft</t>
  </si>
  <si>
    <t xml:space="preserve">PETS</t>
  </si>
  <si>
    <t xml:space="preserve">Eigenfaces under Paillier encryption</t>
  </si>
  <si>
    <t xml:space="preserve">Runs Eigenface recognition between a client and a server under Paillier homomorphic encryption so neither learns the other's data.</t>
  </si>
  <si>
    <t xml:space="preserve">First privacy-preserving face recognition protocol; correct results at minutes per query on 2009 hardware.</t>
  </si>
  <si>
    <t xml:space="preserve">Server learning the query face; client learning the database.</t>
  </si>
  <si>
    <t xml:space="preserve">Slow; Eigenfaces only.</t>
  </si>
  <si>
    <t xml:space="preserve">homomorphic encryption, Eigenfaces, two-party</t>
  </si>
  <si>
    <t xml:space="preserve">https://doi.org/10.1007/978-3-642-03168-7_14</t>
  </si>
  <si>
    <t xml:space="preserve">bitouk2008</t>
  </si>
  <si>
    <t xml:space="preserve">Face Swapping: Automatically Replacing Faces in Photographs</t>
  </si>
  <si>
    <t xml:space="preserve">Dmitri Bitouk, Neeraj Kumar, Samreen Dhillon, Peter Belhumeur, Shree K. Nayar</t>
  </si>
  <si>
    <t xml:space="preserve">ACM SIGGRAPH</t>
  </si>
  <si>
    <t xml:space="preserve">Library of ~33,000 faces from the web</t>
  </si>
  <si>
    <t xml:space="preserve">Pose and appearance matching pipeline</t>
  </si>
  <si>
    <t xml:space="preserve">Replaces a face with a similar one from a large library, matching pose, lighting and colour, explicitly proposed for de-identifying photos.</t>
  </si>
  <si>
    <t xml:space="preserve">Automatic, plausible replacements at scale; the ancestor of generative face replacement.</t>
  </si>
  <si>
    <t xml:space="preserve">Recognition of people in published photos.</t>
  </si>
  <si>
    <t xml:space="preserve">Natural-looking photo.</t>
  </si>
  <si>
    <t xml:space="preserve">Replacement identity is a real person from the library.</t>
  </si>
  <si>
    <t xml:space="preserve">face swapping, library replacement, de-identification</t>
  </si>
  <si>
    <t xml:space="preserve">https://doi.org/10.1145/1360612.1360638</t>
  </si>
  <si>
    <t xml:space="preserve">dufaux2008</t>
  </si>
  <si>
    <t xml:space="preserve">Scrambling for Privacy Protection in Video Surveillance Systems</t>
  </si>
  <si>
    <t xml:space="preserve">Frédéric Dufaux, Touradj Ebrahimi</t>
  </si>
  <si>
    <t xml:space="preserve">IEEE TCSVT</t>
  </si>
  <si>
    <t xml:space="preserve">Surveillance test sequences</t>
  </si>
  <si>
    <t xml:space="preserve">MPEG-4 / H.264 codec-domain scrambling</t>
  </si>
  <si>
    <t xml:space="preserve">Scrambles DCT coefficients of face regions inside the video codec with a secret key; authorised viewers unscramble.</t>
  </si>
  <si>
    <t xml:space="preserve">Reversible, standards-compatible privacy for surveillance video with small bitrate overhead.</t>
  </si>
  <si>
    <t xml:space="preserve">Operators and viewers of surveillance footage.</t>
  </si>
  <si>
    <t xml:space="preserve">Full recovery for key holders; scene remains usable.</t>
  </si>
  <si>
    <t xml:space="preserve">Key management; scrambled regions still reveal location and motion.</t>
  </si>
  <si>
    <t xml:space="preserve">scrambling, reversible, surveillance, codec</t>
  </si>
  <si>
    <t xml:space="preserve">https://doi.org/10.1109/TCSVT.2008.928225</t>
  </si>
  <si>
    <t xml:space="preserve">neustaedter2006</t>
  </si>
  <si>
    <t xml:space="preserve">Blur Filtration Fails to Preserve Privacy for Home-Based Video Conferencing</t>
  </si>
  <si>
    <t xml:space="preserve">Carman Neustaedter, Saul Greenberg, Michael Boyle</t>
  </si>
  <si>
    <t xml:space="preserve">ACM TOCHI</t>
  </si>
  <si>
    <t xml:space="preserve">Staged home video-conferencing scenes</t>
  </si>
  <si>
    <t xml:space="preserve">None (human observers)</t>
  </si>
  <si>
    <t xml:space="preserve">Controlled study of blur levels on home video with privacy-sensitive situations.</t>
  </si>
  <si>
    <t xml:space="preserve">No blur level preserved both privacy and usefulness; participants judged risky situations as still recognisable at levels that already destroyed utility.</t>
  </si>
  <si>
    <t xml:space="preserve">Human observers.</t>
  </si>
  <si>
    <t xml:space="preserve">Awareness in video conferencing.</t>
  </si>
  <si>
    <t xml:space="preserve">Human-only evaluation; automated recognisers are even less troubled by blur.</t>
  </si>
  <si>
    <t xml:space="preserve">blur, video, HCI</t>
  </si>
  <si>
    <t xml:space="preserve">https://doi.org/10.1145/1143518.1143519</t>
  </si>
  <si>
    <t xml:space="preserve">dwork2006</t>
  </si>
  <si>
    <t xml:space="preserve">Calibrating Noise to Sensitivity in Private Data Analysis</t>
  </si>
  <si>
    <t xml:space="preserve">Cynthia Dwork, Frank McSherry, Kobbi Nissim, Adam Smith</t>
  </si>
  <si>
    <t xml:space="preserve">TCC</t>
  </si>
  <si>
    <t xml:space="preserve">None (theory)</t>
  </si>
  <si>
    <t xml:space="preserve">Defines differential privacy and the Laplace mechanism: noise scaled to a query's sensitivity bounds what any output reveals about one individual.</t>
  </si>
  <si>
    <t xml:space="preserve">The formal privacy definition every DP image and face method builds on.</t>
  </si>
  <si>
    <t xml:space="preserve">Inference about any single individual from released statistics.</t>
  </si>
  <si>
    <t xml:space="preserve">Accuracy of aggregate queries.</t>
  </si>
  <si>
    <t xml:space="preserve">Composition across many releases consumes budget; images have large sensitivity.</t>
  </si>
  <si>
    <t xml:space="preserve">differential privacy, foundational, Laplace mechanism</t>
  </si>
  <si>
    <t xml:space="preserve">https://doi.org/10.1007/11681878_14</t>
  </si>
  <si>
    <t xml:space="preserve">gross2006</t>
  </si>
  <si>
    <t xml:space="preserve">Model-Based Face De-Identification</t>
  </si>
  <si>
    <t xml:space="preserve">Ralph Gross, Latanya Sweeney, Fernando de la Torre, Simon Baker</t>
  </si>
  <si>
    <t xml:space="preserve">CMU Multi-PIE, FERET</t>
  </si>
  <si>
    <t xml:space="preserve">Active Appearance Models; PCA recogniser</t>
  </si>
  <si>
    <t xml:space="preserve">k-Same-M: fit Active Appearance Models and average in model-parameter space instead of pixel space, removing the ghosting of pixel-based k-Same.</t>
  </si>
  <si>
    <t xml:space="preserve">Produced more natural de-identified faces at the same 1/k guarantee.</t>
  </si>
  <si>
    <t xml:space="preserve">Face recognition on released datasets.</t>
  </si>
  <si>
    <t xml:space="preserve">Realistic faces suitable for publication.</t>
  </si>
  <si>
    <t xml:space="preserve">Requires accurate model fitting; limited to the AAM's expressive range.</t>
  </si>
  <si>
    <t xml:space="preserve">k-Same-M, AAM</t>
  </si>
  <si>
    <t xml:space="preserve">https://doi.org/10.1109/CVPRW.2006.125</t>
  </si>
  <si>
    <t xml:space="preserve">gross2005</t>
  </si>
  <si>
    <t xml:space="preserve">Integrating Utility into Face De-identification</t>
  </si>
  <si>
    <t xml:space="preserve">Ralph Gross, Edoardo Airoldi, Bradley Malin, Latanya Sweeney</t>
  </si>
  <si>
    <t xml:space="preserve">PET Workshop</t>
  </si>
  <si>
    <t xml:space="preserve">FERET</t>
  </si>
  <si>
    <t xml:space="preserve">PCA recogniser; expression and gender classifiers</t>
  </si>
  <si>
    <t xml:space="preserve">k-Same-Select: partition faces by a utility attribute (expression, gender) and run k-Same inside each partition so the attribute survives.</t>
  </si>
  <si>
    <t xml:space="preserve">Kept expression classification accuracy near the original while holding the 1/k recognition bound.</t>
  </si>
  <si>
    <t xml:space="preserve">Expression and gender, by construction.</t>
  </si>
  <si>
    <t xml:space="preserve">Utility attributes must be known in advance; still produces averaged, unnatural faces.</t>
  </si>
  <si>
    <t xml:space="preserve">k-Same-Select, utility</t>
  </si>
  <si>
    <t xml:space="preserve">https://doi.org/10.1007/11767831_15</t>
  </si>
  <si>
    <t xml:space="preserve">newton2005</t>
  </si>
  <si>
    <t xml:space="preserve">Preserving Privacy by De-identifying Face Images</t>
  </si>
  <si>
    <t xml:space="preserve">Elaine Newton, Latanya Sweeney, Bradley Malin</t>
  </si>
  <si>
    <t xml:space="preserve">IEEE TKDE</t>
  </si>
  <si>
    <t xml:space="preserve">PCA/Eigenface recogniser (commercial FaceIt-class)</t>
  </si>
  <si>
    <t xml:space="preserve">k-Same: each face is replaced by the average of the k closest faces in the set, so every released image corresponds to at least k people.</t>
  </si>
  <si>
    <t xml:space="preserve">Formal guarantee that a recogniser succeeds with probability at most 1/k. Showed that ad hoc methods (pixelation, blur, masking) were still recognised at high rates by contemporary systems.</t>
  </si>
  <si>
    <t xml:space="preserve">Face recognition on released datasets and surveillance stills.</t>
  </si>
  <si>
    <t xml:space="preserve">Preserves a plausible face; ghosting artefacts when faces are misaligned.</t>
  </si>
  <si>
    <t xml:space="preserve">Set-level method: needs the whole dataset at once. Averages look unnatural and leak when a person appears in several groups.</t>
  </si>
  <si>
    <t xml:space="preserve">k-Same, k-anonymity, de-identification</t>
  </si>
  <si>
    <t xml:space="preserve">https://doi.org/10.1109/TKDE.2005.32</t>
  </si>
  <si>
    <t xml:space="preserve">teoh2004</t>
  </si>
  <si>
    <t xml:space="preserve">BioHashing: Two Factor Authentication Featuring Fingerprint Data and Tokenised Random Number</t>
  </si>
  <si>
    <t xml:space="preserve">Andrew Teoh, David Ngo, Alwyn Goh</t>
  </si>
  <si>
    <t xml:space="preserve">Pattern Recognition</t>
  </si>
  <si>
    <t xml:space="preserve">FVC2002 fingerprints</t>
  </si>
  <si>
    <t xml:space="preserve">Random projection + binarisation</t>
  </si>
  <si>
    <t xml:space="preserve">Projects features onto token-seeded random vectors and binarises, binding the template to a user token.</t>
  </si>
  <si>
    <t xml:space="preserve">A revocable, token-bound template with near-zero false accepts when the token is secret.</t>
  </si>
  <si>
    <t xml:space="preserve">Template theft and cross-matching.</t>
  </si>
  <si>
    <t xml:space="preserve">Verification.</t>
  </si>
  <si>
    <t xml:space="preserve">Security collapses if the token leaks (stolen-token scenario).</t>
  </si>
  <si>
    <t xml:space="preserve">BioHashing, random projection, two-factor</t>
  </si>
  <si>
    <t xml:space="preserve">https://doi.org/10.1016/j.patcog.2004.04.011</t>
  </si>
  <si>
    <t xml:space="preserve">juels2002</t>
  </si>
  <si>
    <t xml:space="preserve">A Fuzzy Vault Scheme</t>
  </si>
  <si>
    <t xml:space="preserve">Ari Juels, Madhu Sudan</t>
  </si>
  <si>
    <t xml:space="preserve">IEEE ISIT (journal version DCC 2006)</t>
  </si>
  <si>
    <t xml:space="preserve">Reed-Solomon polynomial</t>
  </si>
  <si>
    <t xml:space="preserve">Locks a secret in a polynomial evaluated on the biometric feature set, hidden among chaff points; a sufficiently overlapping set unlocks it.</t>
  </si>
  <si>
    <t xml:space="preserve">Order-invariant biometric cryptosystem suitable for unordered feature sets.</t>
  </si>
  <si>
    <t xml:space="preserve">Verification with secret release.</t>
  </si>
  <si>
    <t xml:space="preserve">Vulnerable to record multiplicity attacks; needs feature quantisation.</t>
  </si>
  <si>
    <t xml:space="preserve">fuzzy vault, polynomial, chaff</t>
  </si>
  <si>
    <t xml:space="preserve">https://doi.org/10.1109/ISIT.2002.1023680</t>
  </si>
  <si>
    <t xml:space="preserve">ratha2001</t>
  </si>
  <si>
    <t xml:space="preserve">Enhancing Security and Privacy in Biometrics-Based Authentication Systems</t>
  </si>
  <si>
    <t xml:space="preserve">Nalini Ratha, Jonathan Connell, Ruud Bolle</t>
  </si>
  <si>
    <t xml:space="preserve">IBM Systems Journal</t>
  </si>
  <si>
    <t xml:space="preserve">None (conceptual)</t>
  </si>
  <si>
    <t xml:space="preserve">Distortion transforms</t>
  </si>
  <si>
    <t xml:space="preserve">Introduces cancelable biometrics: store an intentionally distorted template so that a compromised one can be revoked and replaced, plus a taxonomy of eight attack points in a biometric system.</t>
  </si>
  <si>
    <t xml:space="preserve">Established revocability as a design goal and the attack-point model still used in ISO/IEC 24745.</t>
  </si>
  <si>
    <t xml:space="preserve">Template theft, replay, cross-matching.</t>
  </si>
  <si>
    <t xml:space="preserve">Matching in the transformed domain.</t>
  </si>
  <si>
    <t xml:space="preserve">Conceptual; concrete transforms came later.</t>
  </si>
  <si>
    <t xml:space="preserve">cancelable biometrics, attack points</t>
  </si>
  <si>
    <t xml:space="preserve">https://doi.org/10.1147/sj.403.0614</t>
  </si>
  <si>
    <t xml:space="preserve">boyle2000</t>
  </si>
  <si>
    <t xml:space="preserve">The Effects of Filtered Video on Awareness and Privacy</t>
  </si>
  <si>
    <t xml:space="preserve">Michael Boyle, Christopher Edwards, Saul Greenberg</t>
  </si>
  <si>
    <t xml:space="preserve">ACM CSCW</t>
  </si>
  <si>
    <t xml:space="preserve">Laboratory media-space video</t>
  </si>
  <si>
    <t xml:space="preserve">User study of blur and pixelation filters on always-on video links in media spaces, measuring how much awareness they preserve and how much privacy they afford.</t>
  </si>
  <si>
    <t xml:space="preserve">Filtering trades awareness against privacy along a single dial; heavy filtering that protected privacy destroyed the awareness the video was for.</t>
  </si>
  <si>
    <t xml:space="preserve">Human observers in a workplace video link.</t>
  </si>
  <si>
    <t xml:space="preserve">Awareness of presence and activity.</t>
  </si>
  <si>
    <t xml:space="preserve">Pre-dates automated recognition. Later work (Neustaedter 2006) showed blur fails even against humans in home settings.</t>
  </si>
  <si>
    <t xml:space="preserve">blur, pixelation, video, HCI</t>
  </si>
  <si>
    <t xml:space="preserve">https://doi.org/10.1145/358916.358935</t>
  </si>
  <si>
    <t xml:space="preserve">juels1999</t>
  </si>
  <si>
    <t xml:space="preserve">A Fuzzy Commitment Scheme</t>
  </si>
  <si>
    <t xml:space="preserve">Ari Juels, Martin Wattenberg</t>
  </si>
  <si>
    <t xml:space="preserve">Error-correcting codes</t>
  </si>
  <si>
    <t xml:space="preserve">Commits to a codeword with the biometric as witness; a noisy but close biometric decommits via error correction.</t>
  </si>
  <si>
    <t xml:space="preserve">Founded biometric cryptosystems: a template that can be verified against a noisy reading without storing it.</t>
  </si>
  <si>
    <t xml:space="preserve">Verification only.</t>
  </si>
  <si>
    <t xml:space="preserve">Assumes a fixed-length, ordered binary representation; linkability across enrolments.</t>
  </si>
  <si>
    <t xml:space="preserve">biometric cryptosystem, error-correcting codes</t>
  </si>
  <si>
    <t xml:space="preserve">https://doi.org/10.1145/319709.319714</t>
  </si>
  <si>
    <t xml:space="preserve">Entries by year and family</t>
  </si>
  <si>
    <t xml:space="preserve">Live COUNTIFS over the "All papers" tab.</t>
  </si>
  <si>
    <t xml:space="preserve">Before 2018</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</si>
  <si>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</si>
  <si>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</si>
  <si>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</si>
  <si>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</si>
  <si>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</si>
  <si>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</si>
  <si>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</si>
  <si>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</si>
  <si>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</si>
  <si>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Total</t>
  </si>
  <si>
    <t xml:space="preserve">Other counts</t>
  </si>
  <si>
    <t xml:space="preserve">Entries with public code</t>
  </si>
  <si>
    <t xml:space="preserve">Entries from 2018 onward</t>
  </si>
  <si>
    <t xml:space="preserve">Preprints or under review</t>
  </si>
  <si>
    <t xml:space="preserve">Grey literature (Other)</t>
  </si>
  <si>
    <t xml:space="preserve">All entries</t>
  </si>
  <si>
    <t xml:space="preserve">39 entries before 2018: the foundations.</t>
  </si>
  <si>
    <t xml:space="preserve">13 entries published or first released in 2018.</t>
  </si>
  <si>
    <t xml:space="preserve">12 entries published or first released in 2019.</t>
  </si>
  <si>
    <t xml:space="preserve">19 entries published or first released in 2020.</t>
  </si>
  <si>
    <t xml:space="preserve">27 entries published or first released in 2021.</t>
  </si>
  <si>
    <t xml:space="preserve">24 entries published or first released in 2022.</t>
  </si>
  <si>
    <t xml:space="preserve">41 entries published or first released in 2023.</t>
  </si>
  <si>
    <t xml:space="preserve">25 entries published or first released in 2024.</t>
  </si>
  <si>
    <t xml:space="preserve">17 entries published or first released in 2025.</t>
  </si>
  <si>
    <t xml:space="preserve">8 entries published or first released in 2026.</t>
  </si>
  <si>
    <t xml:space="preserve">Protect the faceprint itself: cancelable transforms, fuzzy vaults, homomorphic encryption, and recognition on representations that hide the image. 25 entries.</t>
  </si>
  <si>
    <t xml:space="preserve">Keep a face usable for matching while suppressing what else it reveals: gender, age, ethnicity, health. 12 entries.</t>
  </si>
  <si>
    <t xml:space="preserve">Synthesise a new face that keeps pose, expression and attributes but not identity. GANs from 2017, diffusion from 2023, often reversible with a key. 28 entries.</t>
  </si>
  <si>
    <t xml:space="preserve">Perturb photos, makeup or accessories so recognisers fail while humans see the same face. Cloaks poison training; masks and makeup evade matching. 30 entries.</t>
  </si>
  <si>
    <t xml:space="preserve">Make images useless as training data: unlearnable examples against classifiers, and anti-DreamBooth protections against personalised diffusion models. 19 entries.</t>
  </si>
  <si>
    <t xml:space="preserve">Remove a person from a trained model, erase an identity from a generator, or prove that a face was used in training. 18 entries.</t>
  </si>
  <si>
    <t xml:space="preserve">Calibrated noise with a formal privacy budget, applied to pixels, features, templates, gradients or generative models. 14 entries.</t>
  </si>
  <si>
    <t xml:space="preserve">Blur, pixelate, scramble, warp, average k faces, or capture less in the first place. The oldest family, and the one most often shown not to stop machines. 16 entries.</t>
  </si>
  <si>
    <t xml:space="preserve">Papers that invert templates, defeat obfuscation, break cloaks and unlearnable examples, or measure whether anonymisation really removes identity. 25 entries.</t>
  </si>
  <si>
    <t xml:space="preserve">Train recognisers without hoarding faces: federated learning, synthetic identities, consented datasets, instance encoding. 15 entries.</t>
  </si>
  <si>
    <t xml:space="preserve">Surveys that organise the field, audits that exposed bias, investigations and standards that changed what is deployed. 23 entries.</t>
  </si>
  <si>
    <t xml:space="preserve">Defense (paper or family)</t>
  </si>
  <si>
    <t xml:space="preserve">Defense year</t>
  </si>
  <si>
    <t xml:space="preserve">Defense venue</t>
  </si>
  <si>
    <t xml:space="preserve">Attack / evaluation paper</t>
  </si>
  <si>
    <t xml:space="preserve">Attack year</t>
  </si>
  <si>
    <t xml:space="preserve">Attack venue</t>
  </si>
  <si>
    <t xml:space="preserve">What it showed</t>
  </si>
  <si>
    <t xml:space="preserve">Attack paper link</t>
  </si>
  <si>
    <t xml:space="preserve">Blur and pixelation (Boyle 2000, Newton 2005, Street View 2009)</t>
  </si>
  <si>
    <t xml:space="preserve">Recognisers trained on obfuscated images identify faces far above chance. Blur protects against people, not machines.</t>
  </si>
  <si>
    <t xml:space="preserve">Face-only obfuscation</t>
  </si>
  <si>
    <t xml:space="preserve">Body, clothing and scene identify people even with the face removed, which pushed the field toward full-body anonymisation.</t>
  </si>
  <si>
    <t xml:space="preserve">A trainer who sees several cloaked versions of the same photos learns the cloak and cancels it.</t>
  </si>
  <si>
    <t xml:space="preserve">An attacker who trains against the cloak, or simply waits for a better model, defeats it. Pictures are perturbed once; models keep improving.</t>
  </si>
  <si>
    <t xml:space="preserve">The same asymmetry applies. LowKey and Fawkes both fail against future models.</t>
  </si>
  <si>
    <t xml:space="preserve">JPEG compression, grayscale and bit-depth reduction squeeze the shortcut out of unlearnable examples before training.</t>
  </si>
  <si>
    <t xml:space="preserve">Diffusion purification removes availability poisons and restores learnability.</t>
  </si>
  <si>
    <t xml:space="preserve">Grid-based diffusion purification undoes Anti-DreamBooth, Mist and PhotoGuard; personalised models train again on the purified photos.</t>
  </si>
  <si>
    <t xml:space="preserve">Consistency-based purification weakens PhotoGuard and Glaze protections.</t>
  </si>
  <si>
    <t xml:space="preserve">Low-effort robust mimicry (noisy upscaling, Gaussian noise, purification) bypasses Glaze, Mist and Anti-DreamBooth. The Fawkes lesson repeats for diffusion.</t>
  </si>
  <si>
    <t xml:space="preserve">Adversarial cloaks in general</t>
  </si>
  <si>
    <t xml:space="preserve">Diffusion purification washes protective noise out of training data. Salar et al. (CVPR 2025) then designed protection that survives purification: the arms race continues.</t>
  </si>
  <si>
    <t xml:space="preserve">The InstaHide challenge images were recovered; instance encoding gives no meaningful privacy without accuracy loss.</t>
  </si>
  <si>
    <t xml:space="preserve">Unprotected deep templates</t>
  </si>
  <si>
    <t xml:space="preserve">NbNet reconstructions were accepted as the genuine user 95.20% of the time. Later inverters (Vec2Face, Shahreza et al. 2023 to 2025, DiffMI 2026) work black-box and from scores alone.</t>
  </si>
  <si>
    <t xml:space="preserve">The authors found some parameter choices left PolyProtect templates invertible and published a key-selection fix. A rare self-audit.</t>
  </si>
  <si>
    <t xml:space="preserve">A simple distillation attack reports identity recovery above 74% across privacy-preserving recognition and anonymisation systems, including frequency-domain schemes.</t>
  </si>
  <si>
    <t xml:space="preserve">Suppressed attributes come back through similarity structure: templates that look alike belong to people who share attributes.</t>
  </si>
  <si>
    <t xml:space="preserve">Fifteen anonymisation methods</t>
  </si>
  <si>
    <t xml:space="preserve">Eleven of fifteen were at least partially reversible. Looking anonymous is not the same as being anonymous.</t>
  </si>
  <si>
    <t xml:space="preserve">Synthetic training data (SynFace, SFace)</t>
  </si>
  <si>
    <t xml:space="preserve">The generators that make synthetic identities were trained on real faces and leak some of them. Papers in this family now report leakage themselves.</t>
  </si>
  <si>
    <t xml:space="preserve">Unlearning claims need auditing: membership tests such as Face-Auditor and MINT are how a user checks that a face was really forgotten.</t>
  </si>
  <si>
    <t xml:space="preserve">Datasets index</t>
  </si>
  <si>
    <t xml:space="preserve">Wildcard COUNTIF over the Datasets column of "All papers". One entry can mention several datasets.</t>
  </si>
  <si>
    <t xml:space="preserve">Name</t>
  </si>
  <si>
    <t xml:space="preserve">Entries mentioning it</t>
  </si>
  <si>
    <t xml:space="preserve">Share of all entries</t>
  </si>
  <si>
    <t xml:space="preserve">FFHQ</t>
  </si>
  <si>
    <t xml:space="preserve">VGGFace2</t>
  </si>
  <si>
    <t xml:space="preserve">CASIA-WebFace</t>
  </si>
  <si>
    <t xml:space="preserve">MS1M</t>
  </si>
  <si>
    <t xml:space="preserve">WebFace</t>
  </si>
  <si>
    <t xml:space="preserve">FaceScrub</t>
  </si>
  <si>
    <t xml:space="preserve">PubFig</t>
  </si>
  <si>
    <t xml:space="preserve">FRGCv2</t>
  </si>
  <si>
    <t xml:space="preserve">MOBIO</t>
  </si>
  <si>
    <t xml:space="preserve">AgeDB</t>
  </si>
  <si>
    <t xml:space="preserve">CFP-FP</t>
  </si>
  <si>
    <t xml:space="preserve">IJB</t>
  </si>
  <si>
    <t xml:space="preserve">MORPH</t>
  </si>
  <si>
    <t xml:space="preserve">MUCT</t>
  </si>
  <si>
    <t xml:space="preserve">Adience</t>
  </si>
  <si>
    <t xml:space="preserve">CIFAR</t>
  </si>
  <si>
    <t xml:space="preserve">ImageNet</t>
  </si>
  <si>
    <t xml:space="preserve">MNIST</t>
  </si>
  <si>
    <t xml:space="preserve">Multi-PIE</t>
  </si>
  <si>
    <t xml:space="preserve">COCO</t>
  </si>
  <si>
    <t xml:space="preserve">WikiArt</t>
  </si>
  <si>
    <t xml:space="preserve">LADN</t>
  </si>
  <si>
    <t xml:space="preserve">Lacuna</t>
  </si>
  <si>
    <t xml:space="preserve">Models index</t>
  </si>
  <si>
    <t xml:space="preserve">Wildcard COUNTIF over the Models / backbones column of "All papers". One entry can mention several models.</t>
  </si>
  <si>
    <t xml:space="preserve">ArcFace</t>
  </si>
  <si>
    <t xml:space="preserve">CosFace</t>
  </si>
  <si>
    <t xml:space="preserve">SphereFace</t>
  </si>
  <si>
    <t xml:space="preserve">MobileFace</t>
  </si>
  <si>
    <t xml:space="preserve">IR152</t>
  </si>
  <si>
    <t xml:space="preserve">IRSE50</t>
  </si>
  <si>
    <t xml:space="preserve">VGG-Face</t>
  </si>
  <si>
    <t xml:space="preserve">AdaFace</t>
  </si>
  <si>
    <t xml:space="preserve">MagFace</t>
  </si>
  <si>
    <t xml:space="preserve">ElasticFace</t>
  </si>
  <si>
    <t xml:space="preserve">ResNet</t>
  </si>
  <si>
    <t xml:space="preserve">ViT</t>
  </si>
  <si>
    <t xml:space="preserve">StyleGAN</t>
  </si>
  <si>
    <t xml:space="preserve">DreamBooth</t>
  </si>
  <si>
    <t xml:space="preserve">Diffusion</t>
  </si>
  <si>
    <t xml:space="preserve">Eigenface</t>
  </si>
  <si>
    <t xml:space="preserve">Face++</t>
  </si>
  <si>
    <t xml:space="preserve">Azure</t>
  </si>
  <si>
    <t xml:space="preserve">Rekognition</t>
  </si>
  <si>
    <t xml:space="preserve">Aliyun</t>
  </si>
  <si>
    <t xml:space="preserve">CLIP</t>
  </si>
  <si>
    <t xml:space="preserve">homomorphic</t>
  </si>
  <si>
    <t xml:space="preserve">FHE</t>
  </si>
  <si>
    <t xml:space="preserve">Paillier</t>
  </si>
  <si>
    <t xml:space="preserve">Viola-Jones</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</si>
</sst>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2"/>
      <name val="Arial"/>
      <family val="0"/>
      <charset val="1"/>
    </font>
    <font>
      <b val="true"/>
      <sz val="10"/>
      <name val="Arial"/>
      <family val="0"/>
      <charset val="1"/>
    </font>
    <font>
      <b val="true"/>
      <sz val="14"/>
      <name val="Arial"/>
      <family val="0"/>
      <charset val="1"/>
    </font>
    <font>
      <i val="true"/>
      <sz val="9"/>
      <color rgb="FF555555"/>
      <name val="Arial"/>
      <family val="0"/>
      <charset val="1"/>
    </font>
    <font>
      <b val="true"/>
      <sz val="10"/>
      <color rgb="FFFFFFFF"/>
      <name val="Arial"/>
      <family val="0"/>
      <charset val="1"/>
    </font>
    <font>
      <sz val="9"/>
      <name val="Arial"/>
      <family val="0"/>
      <charset val="1"/>
    </font>
    <font>
      <u val="single"/>
      <sz val="9"/>
      <color rgb="FF2563EB"/>
      <name val="Arial"/>
      <family val="0"/>
      <charset val="1"/>
    </font>
    <font>
      <b val="true"/>
      <sz val="9"/>
      <name val="Arial"/>
      <family val="0"/>
      <charset val="1"/>
    </font>
  </fonts>
  <fills count="11">
    <fill>
      <patternFill patternType="none"/>
    </fill>
    <fill>
      <patternFill patternType="gray125"/>
    </fill>
    <fill>
      <patternFill patternType="solid">
        <fgColor rgb="FFDCE9F8"/>
        <bgColor rgb="FFE0DDF3"/>
      </patternFill>
    </fill>
    <fill>
      <patternFill patternType="solid">
        <fgColor rgb="FFFBE2D6"/>
        <bgColor rgb="FFF9DADA"/>
      </patternFill>
    </fill>
    <fill>
      <patternFill patternType="solid">
        <fgColor rgb="FFD3F1E5"/>
        <bgColor rgb="FFD6EDD6"/>
      </patternFill>
    </fill>
    <fill>
      <patternFill patternType="solid">
        <fgColor rgb="FFFBEFCC"/>
        <bgColor rgb="FFFBE2D6"/>
      </patternFill>
    </fill>
    <fill>
      <patternFill patternType="solid">
        <fgColor rgb="FFD6EDD6"/>
        <bgColor rgb="FFD3F1E5"/>
      </patternFill>
    </fill>
    <fill>
      <patternFill patternType="solid">
        <fgColor rgb="FFE0DDF3"/>
        <bgColor rgb="FFDDDDDD"/>
      </patternFill>
    </fill>
    <fill>
      <patternFill patternType="solid">
        <fgColor rgb="FFFADDE8"/>
        <bgColor rgb="FFF9DADA"/>
      </patternFill>
    </fill>
    <fill>
      <patternFill patternType="solid">
        <fgColor rgb="FFF9DADA"/>
        <bgColor rgb="FFFADDE8"/>
      </patternFill>
    </fill>
    <fill>
      <patternFill patternType="solid">
        <fgColor rgb="FF0F172A"/>
        <bgColor rgb="FF000000"/>
      </patternFill>
    </fill>
  </fills>
  <borders count="2">
    <border diagonalUp="false" diagonalDown="false">
      <left/>
      <right/>
      <top/>
      <bottom/>
      <diagonal/>
    </border>
    <border diagonalUp="false" diagonalDown="false">
      <left/>
      <right/>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0" fillId="10"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0" fillId="1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F172A"/>
        </patternFill>
      </fill>
    </dxf>
    <dxf>
      <fill>
        <patternFill patternType="solid">
          <fgColor rgb="00FFFFFF"/>
        </patternFill>
      </fill>
    </dxf>
    <dxf>
      <fill>
        <patternFill patternType="solid">
          <fgColor rgb="FFFFFFFF"/>
        </patternFill>
      </fill>
    </dxf>
    <dxf>
      <fill>
        <patternFill patternType="solid">
          <fgColor rgb="FFD3F1E5"/>
        </patternFill>
      </fill>
    </dxf>
    <dxf>
      <fill>
        <patternFill patternType="solid">
          <fgColor rgb="FFD6EDD6"/>
        </patternFill>
      </fill>
    </dxf>
    <dxf>
      <fill>
        <patternFill patternType="solid">
          <fgColor rgb="FFDCE9F8"/>
        </patternFill>
      </fill>
    </dxf>
    <dxf>
      <fill>
        <patternFill patternType="solid">
          <fgColor rgb="FFE0DDF3"/>
        </patternFill>
      </fill>
    </dxf>
    <dxf>
      <fill>
        <patternFill patternType="solid">
          <fgColor rgb="FFF9DADA"/>
        </patternFill>
      </fill>
    </dxf>
    <dxf>
      <fill>
        <patternFill patternType="solid">
          <fgColor rgb="FFFADDE8"/>
        </patternFill>
      </fill>
    </dxf>
    <dxf>
      <fill>
        <patternFill patternType="solid">
          <fgColor rgb="FFFBE2D6"/>
        </patternFill>
      </fill>
    </dxf>
    <dxf>
      <fill>
        <patternFill patternType="solid">
          <fgColor rgb="FFFBEFCC"/>
        </patternFill>
      </fill>
    </dxf>
    <dxf>
      <fill>
        <patternFill patternType="solid">
          <fgColor rgb="FF2563E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DDD"/>
      <rgbColor rgb="FF808080"/>
      <rgbColor rgb="FF9999FF"/>
      <rgbColor rgb="FF993366"/>
      <rgbColor rgb="FFFBEFCC"/>
      <rgbColor rgb="FFDCE9F8"/>
      <rgbColor rgb="FF660066"/>
      <rgbColor rgb="FFFF8080"/>
      <rgbColor rgb="FF0066CC"/>
      <rgbColor rgb="FFE0DDF3"/>
      <rgbColor rgb="FF000080"/>
      <rgbColor rgb="FFFF00FF"/>
      <rgbColor rgb="FFFFFF00"/>
      <rgbColor rgb="FF00FFFF"/>
      <rgbColor rgb="FF800080"/>
      <rgbColor rgb="FF800000"/>
      <rgbColor rgb="FF008080"/>
      <rgbColor rgb="FF0000FF"/>
      <rgbColor rgb="FF00CCFF"/>
      <rgbColor rgb="FFD6EDD6"/>
      <rgbColor rgb="FFD3F1E5"/>
      <rgbColor rgb="FFFBE2D6"/>
      <rgbColor rgb="FF99CCFF"/>
      <rgbColor rgb="FFFADDE8"/>
      <rgbColor rgb="FFCC99FF"/>
      <rgbColor rgb="FFF9DADA"/>
      <rgbColor rgb="FF2563EB"/>
      <rgbColor rgb="FF33CCCC"/>
      <rgbColor rgb="FF99CC00"/>
      <rgbColor rgb="FFFFCC00"/>
      <rgbColor rgb="FFFF9900"/>
      <rgbColor rgb="FFFF6600"/>
      <rgbColor rgb="FF555555"/>
      <rgbColor rgb="FF969696"/>
      <rgbColor rgb="FF003366"/>
      <rgbColor rgb="FF339966"/>
      <rgbColor rgb="FF0F172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hyperlink" Target="https://arxiv.org/abs/2605.03857" TargetMode="External"/><Relationship Id="rId2" Type="http://schemas.openxmlformats.org/officeDocument/2006/relationships/hyperlink" Target="https://scholar.google.com/scholar?q=%22A%20Deeper%20Dive%20into%20the%20Irreversibility%20of%20PolyProtect%3A%20Making%20Protected%20Face%20Templates%20Harder%20to%20Invert%22" TargetMode="External"/><Relationship Id="rId3" Type="http://schemas.openxmlformats.org/officeDocument/2006/relationships/hyperlink" Target="https://arxiv.org/abs/2608.04314" TargetMode="External"/><Relationship Id="rId4" Type="http://schemas.openxmlformats.org/officeDocument/2006/relationships/hyperlink" Target="https://scholar.google.com/scholar?q=%22Adversarial%20Attacks%20for%20Good%3A%20A%20Survey%20of%20Proactive%20Protection%20across%20the%20Visual%20Content%20Lifecycle%22" TargetMode="External"/><Relationship Id="rId5" Type="http://schemas.openxmlformats.org/officeDocument/2006/relationships/hyperlink" Target="https://arxiv.org/abs/2504.18015" TargetMode="External"/><Relationship Id="rId6" Type="http://schemas.openxmlformats.org/officeDocument/2006/relationships/hyperlink" Target="https://scholar.google.com/scholar?q=%22DiffMI%3A%20Breaking%20Face%20Recognition%20Privacy%20via%20Diffusion-Driven%20Training-Free%20Model%20Inversion%22" TargetMode="External"/><Relationship Id="rId7" Type="http://schemas.openxmlformats.org/officeDocument/2006/relationships/hyperlink" Target="https://arxiv.org/abs/2603.13121" TargetMode="External"/><Relationship Id="rId8" Type="http://schemas.openxmlformats.org/officeDocument/2006/relationships/hyperlink" Target="https://arxiv.org/abs/2603.13121" TargetMode="External"/><Relationship Id="rId9" Type="http://schemas.openxmlformats.org/officeDocument/2006/relationships/hyperlink" Target="https://scholar.google.com/scholar?q=%22FDeID-Toolbox%3A%20Face%20De-Identification%20Toolbox%22" TargetMode="External"/><Relationship Id="rId10" Type="http://schemas.openxmlformats.org/officeDocument/2006/relationships/hyperlink" Target="https://arxiv.org/abs/2607.25926" TargetMode="External"/><Relationship Id="rId11" Type="http://schemas.openxmlformats.org/officeDocument/2006/relationships/hyperlink" Target="https://scholar.google.com/scholar?q=%22Face%20De-Identification%3A%20A%20Domain-Centric%20Survey%20from%20Capture%20to%20Processing%22" TargetMode="External"/><Relationship Id="rId12" Type="http://schemas.openxmlformats.org/officeDocument/2006/relationships/hyperlink" Target="https://arxiv.org/abs/2602.02914" TargetMode="External"/><Relationship Id="rId13" Type="http://schemas.openxmlformats.org/officeDocument/2006/relationships/hyperlink" Target="https://scholar.google.com/scholar?q=%22FaceLinkGen%3A%20A%20Re-evaluation%20of%20Identity%20Leakage%20in%20Privacy-Preserving%20Face%20Recognition%20and%20Face%20Anonymization%20Systems%20Using%20Simple%20Distillation%22" TargetMode="External"/><Relationship Id="rId14" Type="http://schemas.openxmlformats.org/officeDocument/2006/relationships/hyperlink" Target="https://arxiv.org/abs/2606.17606" TargetMode="External"/><Relationship Id="rId15" Type="http://schemas.openxmlformats.org/officeDocument/2006/relationships/hyperlink" Target="https://scholar.google.com/scholar?q=%22Flux-Guard%3A%20Facial%20Identity%20Protection%20using%20Diffusion%20Models%22" TargetMode="External"/><Relationship Id="rId16" Type="http://schemas.openxmlformats.org/officeDocument/2006/relationships/hyperlink" Target="https://arxiv.org/abs/2412.15228" TargetMode="External"/><Relationship Id="rId17" Type="http://schemas.openxmlformats.org/officeDocument/2006/relationships/hyperlink" Target="https://scholar.google.com/scholar?q=%22Image%20Privacy%20Protection%3A%20A%20Survey%22" TargetMode="External"/><Relationship Id="rId18" Type="http://schemas.openxmlformats.org/officeDocument/2006/relationships/hyperlink" Target="https://github.com/ethz-spylab/robust-style-mimicry" TargetMode="External"/><Relationship Id="rId19" Type="http://schemas.openxmlformats.org/officeDocument/2006/relationships/hyperlink" Target="https://arxiv.org/abs/2406.12027" TargetMode="External"/><Relationship Id="rId20" Type="http://schemas.openxmlformats.org/officeDocument/2006/relationships/hyperlink" Target="https://scholar.google.com/scholar?q=%22Adversarial%20Perturbations%20Cannot%20Reliably%20Protect%20Artists%20From%20Generative%20AI%22" TargetMode="External"/><Relationship Id="rId21" Type="http://schemas.openxmlformats.org/officeDocument/2006/relationships/hyperlink" Target="https://arxiv.org/abs/2505.20985" TargetMode="External"/><Relationship Id="rId22" Type="http://schemas.openxmlformats.org/officeDocument/2006/relationships/hyperlink" Target="https://scholar.google.com/scholar?q=%22Assessing%20the%20Use%20of%20Face%20Swapping%20Methods%20as%20Face%20Anonymizers%20in%20Videos%22" TargetMode="External"/><Relationship Id="rId23" Type="http://schemas.openxmlformats.org/officeDocument/2006/relationships/hyperlink" Target="https://arxiv.org/abs/2503.10549" TargetMode="External"/><Relationship Id="rId24" Type="http://schemas.openxmlformats.org/officeDocument/2006/relationships/hyperlink" Target="https://scholar.google.com/scholar?q=%22Controllable%20Adversarial%20Makeup%20for%20Privacy%20via%20Text-Guided%20Diffusion%22" TargetMode="External"/><Relationship Id="rId25" Type="http://schemas.openxmlformats.org/officeDocument/2006/relationships/hyperlink" Target="https://github.com/joellliu/DiffProtect" TargetMode="External"/><Relationship Id="rId26" Type="http://schemas.openxmlformats.org/officeDocument/2006/relationships/hyperlink" Target="https://arxiv.org/abs/2305.13625" TargetMode="External"/><Relationship Id="rId27" Type="http://schemas.openxmlformats.org/officeDocument/2006/relationships/hyperlink" Target="https://scholar.google.com/scholar?q=%22DiffProtect%3A%20Generate%20Adversarial%20Examples%20with%20Diffusion%20Models%20for%20Facial%20Privacy%20Protection%22" TargetMode="External"/><Relationship Id="rId28" Type="http://schemas.openxmlformats.org/officeDocument/2006/relationships/hyperlink" Target="https://arxiv.org/abs/2504.21646" TargetMode="External"/><Relationship Id="rId29" Type="http://schemas.openxmlformats.org/officeDocument/2006/relationships/hyperlink" Target="https://scholar.google.com/scholar?q=%22Diffusion-based%20Adversarial%20Identity%20Manipulation%20for%20Facial%20Privacy%20Protection%22" TargetMode="External"/><Relationship Id="rId30" Type="http://schemas.openxmlformats.org/officeDocument/2006/relationships/hyperlink" Target="https://github.com/parham1998/Facial-Privacy-Protection" TargetMode="External"/><Relationship Id="rId31" Type="http://schemas.openxmlformats.org/officeDocument/2006/relationships/hyperlink" Target="https://openaccess.thecvf.com/content/CVPR2025/html/Salar_Enhancing_Facial_Privacy_Protection_via_Weakening_Diffusion_Purification_CVPR_2025_paper.html" TargetMode="External"/><Relationship Id="rId32" Type="http://schemas.openxmlformats.org/officeDocument/2006/relationships/hyperlink" Target="https://scholar.google.com/scholar?q=%22Enhancing%20Facial%20Privacy%20Protection%20via%20Weakening%20Diffusion%20Purification%22" TargetMode="External"/><Relationship Id="rId33" Type="http://schemas.openxmlformats.org/officeDocument/2006/relationships/hyperlink" Target="https://github.com/hanweikung/face_anon_simple" TargetMode="External"/><Relationship Id="rId34" Type="http://schemas.openxmlformats.org/officeDocument/2006/relationships/hyperlink" Target="https://arxiv.org/abs/2411.00762" TargetMode="External"/><Relationship Id="rId35" Type="http://schemas.openxmlformats.org/officeDocument/2006/relationships/hyperlink" Target="https://scholar.google.com/scholar?q=%22Face%20Anonymization%20Made%20Simple%22" TargetMode="External"/><Relationship Id="rId36" Type="http://schemas.openxmlformats.org/officeDocument/2006/relationships/hyperlink" Target="https://arxiv.org/abs/2411.03960" TargetMode="External"/><Relationship Id="rId37" Type="http://schemas.openxmlformats.org/officeDocument/2006/relationships/hyperlink" Target="https://scholar.google.com/scholar?q=%22Face%20Reconstruction%20from%20Face%20Embeddings%20using%20Adapter%20to%20a%20Face%20Foundation%20Model%22" TargetMode="External"/><Relationship Id="rId38" Type="http://schemas.openxmlformats.org/officeDocument/2006/relationships/hyperlink" Target="https://doi.org/10.1016/j.cosrev.2025.100785" TargetMode="External"/><Relationship Id="rId39" Type="http://schemas.openxmlformats.org/officeDocument/2006/relationships/hyperlink" Target="https://scholar.google.com/scholar?q=%22Facial%20Privacy%20in%20the%20Digital%20Era%3A%20A%20Comprehensive%20Survey%20on%20Methods%2C%20Evaluation%2C%20and%20Future%20Directions%22" TargetMode="External"/><Relationship Id="rId40" Type="http://schemas.openxmlformats.org/officeDocument/2006/relationships/hyperlink" Target="https://arxiv.org/abs/2412.11638" TargetMode="External"/><Relationship Id="rId41" Type="http://schemas.openxmlformats.org/officeDocument/2006/relationships/hyperlink" Target="https://scholar.google.com/scholar?q=%22IDProtector%3A%20An%20Adversarial%20Noise%20Encoder%20to%20Protect%20Against%20ID-Preserving%20Image%20Generation%22" TargetMode="External"/><Relationship Id="rId42" Type="http://schemas.openxmlformats.org/officeDocument/2006/relationships/hyperlink" Target="https://arxiv.org/abs/2506.09777" TargetMode="External"/><Relationship Id="rId43" Type="http://schemas.openxmlformats.org/officeDocument/2006/relationships/hyperlink" Target="https://scholar.google.com/scholar?q=%22Inverting%20Black-Box%20Face%20Recognition%20Systems%20via%20Zero-Order%20Optimization%20in%20Eigenface%20Space%22" TargetMode="External"/><Relationship Id="rId44" Type="http://schemas.openxmlformats.org/officeDocument/2006/relationships/hyperlink" Target="https://arxiv.org/abs/2509.11249" TargetMode="External"/><Relationship Id="rId45" Type="http://schemas.openxmlformats.org/officeDocument/2006/relationships/hyperlink" Target="https://scholar.google.com/scholar?q=%22Make%20Identity%20Unextractable%20yet%20Perceptible%3A%20Synthesis-Based%20Privacy%20Protection%20for%20Subject%20Faces%20in%20Photos%22" TargetMode="External"/><Relationship Id="rId46" Type="http://schemas.openxmlformats.org/officeDocument/2006/relationships/hyperlink" Target="https://github.com/anilegin/AnonNET" TargetMode="External"/><Relationship Id="rId47" Type="http://schemas.openxmlformats.org/officeDocument/2006/relationships/hyperlink" Target="https://arxiv.org/abs/2601.11635" TargetMode="External"/><Relationship Id="rId48" Type="http://schemas.openxmlformats.org/officeDocument/2006/relationships/hyperlink" Target="https://scholar.google.com/scholar?q=%22Now%20You%20See%20Me%2C%20Now%20You%20Don%27t%3A%20A%20Unified%20Framework%20for%20Expression%20Consistent%20Anonymization%20in%20Talking%20Head%20Videos%22" TargetMode="External"/><Relationship Id="rId49" Type="http://schemas.openxmlformats.org/officeDocument/2006/relationships/hyperlink" Target="https://arxiv.org/abs/2508.02034" TargetMode="External"/><Relationship Id="rId50" Type="http://schemas.openxmlformats.org/officeDocument/2006/relationships/hyperlink" Target="https://scholar.google.com/scholar?q=%22Protego%3A%20User-Centric%20Pose-Invariant%20Privacy%20Protection%20Against%20Face%20Recognition-Induced%20Digital%20Footprint%20Exposure%22" TargetMode="External"/><Relationship Id="rId51" Type="http://schemas.openxmlformats.org/officeDocument/2006/relationships/hyperlink" Target="https://arxiv.org/abs/2510.01031" TargetMode="External"/><Relationship Id="rId52" Type="http://schemas.openxmlformats.org/officeDocument/2006/relationships/hyperlink" Target="https://scholar.google.com/scholar?q=%22Secure%20and%20Reversible%20Face%20Anonymization%20with%20Diffusion%20Models%22" TargetMode="External"/><Relationship Id="rId53" Type="http://schemas.openxmlformats.org/officeDocument/2006/relationships/hyperlink" Target="https://github.com/HaiyuWu/vec2face" TargetMode="External"/><Relationship Id="rId54" Type="http://schemas.openxmlformats.org/officeDocument/2006/relationships/hyperlink" Target="https://arxiv.org/abs/2409.02979" TargetMode="External"/><Relationship Id="rId55" Type="http://schemas.openxmlformats.org/officeDocument/2006/relationships/hyperlink" Target="https://scholar.google.com/scholar?q=%22Vec2Face%3A%20Scaling%20Face%20Dataset%20Generation%20with%20Loosely%20Constrained%20Vectors%22" TargetMode="External"/><Relationship Id="rId56" Type="http://schemas.openxmlformats.org/officeDocument/2006/relationships/hyperlink" Target="https://arxiv.org/abs/2303.16552" TargetMode="External"/><Relationship Id="rId57" Type="http://schemas.openxmlformats.org/officeDocument/2006/relationships/hyperlink" Target="https://scholar.google.com/scholar?q=%22Visual%20Content%20Privacy%20Protection%3A%20A%20Survey%22" TargetMode="External"/><Relationship Id="rId58" Type="http://schemas.openxmlformats.org/officeDocument/2006/relationships/hyperlink" Target="https://github.com/foivospar/Arc2Face" TargetMode="External"/><Relationship Id="rId59" Type="http://schemas.openxmlformats.org/officeDocument/2006/relationships/hyperlink" Target="https://arxiv.org/abs/2403.11641" TargetMode="External"/><Relationship Id="rId60" Type="http://schemas.openxmlformats.org/officeDocument/2006/relationships/hyperlink" Target="https://scholar.google.com/scholar?q=%22Arc2Face%3A%20A%20Foundation%20Model%20for%20ID-Consistent%20Human%20Faces%22" TargetMode="External"/><Relationship Id="rId61" Type="http://schemas.openxmlformats.org/officeDocument/2006/relationships/hyperlink" Target="https://github.com/ZhengyueZhao/GrIDPure" TargetMode="External"/><Relationship Id="rId62" Type="http://schemas.openxmlformats.org/officeDocument/2006/relationships/hyperlink" Target="https://arxiv.org/abs/2312.00084" TargetMode="External"/><Relationship Id="rId63" Type="http://schemas.openxmlformats.org/officeDocument/2006/relationships/hyperlink" Target="https://scholar.google.com/scholar?q=%22Can%20Protective%20Perturbation%20Safeguard%20Personal%20Data%20from%20Being%20Exploited%20by%20Stable%20Diffusion%3F%22" TargetMode="External"/><Relationship Id="rId64" Type="http://schemas.openxmlformats.org/officeDocument/2006/relationships/hyperlink" Target="https://github.com/HansSunY/DiffAM" TargetMode="External"/><Relationship Id="rId65" Type="http://schemas.openxmlformats.org/officeDocument/2006/relationships/hyperlink" Target="https://arxiv.org/abs/2405.09882" TargetMode="External"/><Relationship Id="rId66" Type="http://schemas.openxmlformats.org/officeDocument/2006/relationships/hyperlink" Target="https://scholar.google.com/scholar?q=%22DiffAM%3A%20Diffusion-based%20Adversarial%20Makeup%20Transfer%20for%20Facial%20Privacy%20Protection%22" TargetMode="External"/><Relationship Id="rId67" Type="http://schemas.openxmlformats.org/officeDocument/2006/relationships/hyperlink" Target="https://arxiv.org/abs/2303.13269" TargetMode="External"/><Relationship Id="rId68" Type="http://schemas.openxmlformats.org/officeDocument/2006/relationships/hyperlink" Target="https://scholar.google.com/scholar?q=%22Disguise%20without%20Disruption%3A%20Utility-Preserving%20Face%20De-Identification%22" TargetMode="External"/><Relationship Id="rId69" Type="http://schemas.openxmlformats.org/officeDocument/2006/relationships/hyperlink" Target="https://arxiv.org/abs/2411.16832" TargetMode="External"/><Relationship Id="rId70" Type="http://schemas.openxmlformats.org/officeDocument/2006/relationships/hyperlink" Target="https://scholar.google.com/scholar?q=%22Edit%20Away%20and%20My%20Face%20Will%20Not%20Stay%3A%20Personal%20Biometric%20Defense%20against%20Malicious%20Generative%20Editing%22" TargetMode="External"/><Relationship Id="rId71" Type="http://schemas.openxmlformats.org/officeDocument/2006/relationships/hyperlink" Target="https://arxiv.org/abs/2311.10476" TargetMode="External"/><Relationship Id="rId72" Type="http://schemas.openxmlformats.org/officeDocument/2006/relationships/hyperlink" Target="https://scholar.google.com/scholar?q=%22FRCSyn%20Challenge%20at%20WACV%202024%3A%20Face%20Recognition%20Challenge%20in%20the%20Era%20of%20Synthetic%20Data%22" TargetMode="External"/><Relationship Id="rId73" Type="http://schemas.openxmlformats.org/officeDocument/2006/relationships/hyperlink" Target="https://arxiv.org/abs/2411.09863" TargetMode="External"/><Relationship Id="rId74" Type="http://schemas.openxmlformats.org/officeDocument/2006/relationships/hyperlink" Target="https://scholar.google.com/scholar?q=%22Face%20De-identification%3A%20State-of-the-art%20Methods%20and%20Comparative%20Studies%22" TargetMode="External"/><Relationship Id="rId75" Type="http://schemas.openxmlformats.org/officeDocument/2006/relationships/hyperlink" Target="https://arxiv.org/abs/2406.17219" TargetMode="External"/><Relationship Id="rId76" Type="http://schemas.openxmlformats.org/officeDocument/2006/relationships/hyperlink" Target="https://scholar.google.com/scholar?q=%22Facial%20Identity%20Anonymization%20via%20Intrinsic%20and%20Extrinsic%20Attention%20Distraction%22" TargetMode="External"/><Relationship Id="rId77" Type="http://schemas.openxmlformats.org/officeDocument/2006/relationships/hyperlink" Target="https://arxiv.org/abs/2210.10651" TargetMode="External"/><Relationship Id="rId78" Type="http://schemas.openxmlformats.org/officeDocument/2006/relationships/hyperlink" Target="https://scholar.google.com/scholar?q=%22Fant&#244;mas%3A%20Understanding%20Face%20Anonymization%20Reversibility%22" TargetMode="External"/><Relationship Id="rId79" Type="http://schemas.openxmlformats.org/officeDocument/2006/relationships/hyperlink" Target="https://github.com/SHI-Labs/Forget-Me-Not" TargetMode="External"/><Relationship Id="rId80" Type="http://schemas.openxmlformats.org/officeDocument/2006/relationships/hyperlink" Target="https://arxiv.org/abs/2303.17591" TargetMode="External"/><Relationship Id="rId81" Type="http://schemas.openxmlformats.org/officeDocument/2006/relationships/hyperlink" Target="https://scholar.google.com/scholar?q=%22Forget-Me-Not%3A%20Learning%20to%20Forget%20in%20Text-to-Image%20Diffusion%20Models%22" TargetMode="External"/><Relationship Id="rId82" Type="http://schemas.openxmlformats.org/officeDocument/2006/relationships/hyperlink" Target="https://github.com/Harxis/G2Face" TargetMode="External"/><Relationship Id="rId83" Type="http://schemas.openxmlformats.org/officeDocument/2006/relationships/hyperlink" Target="https://arxiv.org/abs/2408.09458" TargetMode="External"/><Relationship Id="rId84" Type="http://schemas.openxmlformats.org/officeDocument/2006/relationships/hyperlink" Target="https://scholar.google.com/scholar?q=%22G2Face%3A%20High-Fidelity%20Reversible%20Face%20Anonymization%20via%20Generative%20and%20Geometric%20Priors%22" TargetMode="External"/><Relationship Id="rId85" Type="http://schemas.openxmlformats.org/officeDocument/2006/relationships/hyperlink" Target="https://github.com/hcmlab/GANonymization" TargetMode="External"/><Relationship Id="rId86" Type="http://schemas.openxmlformats.org/officeDocument/2006/relationships/hyperlink" Target="https://arxiv.org/abs/2305.02143" TargetMode="External"/><Relationship Id="rId87" Type="http://schemas.openxmlformats.org/officeDocument/2006/relationships/hyperlink" Target="https://scholar.google.com/scholar?q=%22GANonymization%3A%20A%20GAN-based%20Face%20Anonymization%20Framework%20for%20Preserving%20Emotional%20Expressions%22" TargetMode="External"/><Relationship Id="rId88" Type="http://schemas.openxmlformats.org/officeDocument/2006/relationships/hyperlink" Target="https://github.com/JJuOn/GUIDE" TargetMode="External"/><Relationship Id="rId89" Type="http://schemas.openxmlformats.org/officeDocument/2006/relationships/hyperlink" Target="https://arxiv.org/abs/2405.09879" TargetMode="External"/><Relationship Id="rId90" Type="http://schemas.openxmlformats.org/officeDocument/2006/relationships/hyperlink" Target="https://scholar.google.com/scholar?q=%22Generative%20Unlearning%20for%20Any%20Identity%22" TargetMode="External"/><Relationship Id="rId91" Type="http://schemas.openxmlformats.org/officeDocument/2006/relationships/hyperlink" Target="https://arxiv.org/abs/2402.09225" TargetMode="External"/><Relationship Id="rId92" Type="http://schemas.openxmlformats.org/officeDocument/2006/relationships/hyperlink" Target="https://scholar.google.com/scholar?q=%22Is%20My%20Data%20in%20Your%20AI%20Model%3F%20Membership%20Inference%20Test%20with%20Application%20to%20Face%20Images%22" TargetMode="External"/><Relationship Id="rId93" Type="http://schemas.openxmlformats.org/officeDocument/2006/relationships/hyperlink" Target="https://arxiv.org/abs/2403.14790" TargetMode="External"/><Relationship Id="rId94" Type="http://schemas.openxmlformats.org/officeDocument/2006/relationships/hyperlink" Target="https://scholar.google.com/scholar?q=%22Latent%20Diffusion%20Models%20for%20Attribute-Preserving%20Image%20Anonymization%22" TargetMode="External"/><Relationship Id="rId95" Type="http://schemas.openxmlformats.org/officeDocument/2006/relationships/hyperlink" Target="https://github.com/daizigege/CanFG" TargetMode="External"/><Relationship Id="rId96" Type="http://schemas.openxmlformats.org/officeDocument/2006/relationships/hyperlink" Target="https://doi.org/10.1145/3664647.3680704" TargetMode="External"/><Relationship Id="rId97" Type="http://schemas.openxmlformats.org/officeDocument/2006/relationships/hyperlink" Target="https://scholar.google.com/scholar?q=%22Make%20Privacy%20Renewable%21%20Generating%20Privacy-Preserving%20Faces%20Supporting%20Cancelable%20Biometric%20Recognition%22" TargetMode="External"/><Relationship Id="rId98" Type="http://schemas.openxmlformats.org/officeDocument/2006/relationships/hyperlink" Target="https://github.com/liuyixin-louis/MetaCloak" TargetMode="External"/><Relationship Id="rId99" Type="http://schemas.openxmlformats.org/officeDocument/2006/relationships/hyperlink" Target="https://arxiv.org/abs/2311.13127" TargetMode="External"/><Relationship Id="rId100" Type="http://schemas.openxmlformats.org/officeDocument/2006/relationships/hyperlink" Target="https://scholar.google.com/scholar?q=%22MetaCloak%3A%20Preventing%20Unauthorized%20Subject-Driven%20Text-to-Image%20Diffusion-Based%20Synthesis%20via%20Meta-Learning%22" TargetMode="External"/><Relationship Id="rId101" Type="http://schemas.openxmlformats.org/officeDocument/2006/relationships/hyperlink" Target="https://arxiv.org/abs/2310.13828" TargetMode="External"/><Relationship Id="rId102" Type="http://schemas.openxmlformats.org/officeDocument/2006/relationships/hyperlink" Target="https://scholar.google.com/scholar?q=%22Nightshade%3A%20Prompt-Specific%20Poisoning%20Attacks%20on%20Text-to-Image%20Generative%20Models%22" TargetMode="External"/><Relationship Id="rId103" Type="http://schemas.openxmlformats.org/officeDocument/2006/relationships/hyperlink" Target="https://arxiv.org/abs/2407.13975" TargetMode="External"/><Relationship Id="rId104" Type="http://schemas.openxmlformats.org/officeDocument/2006/relationships/hyperlink" Target="https://scholar.google.com/scholar?q=%22Personalized%20Privacy%20Protection%20Mask%20Against%20Unauthorized%20Facial%20Recognition%22" TargetMode="External"/><Relationship Id="rId105" Type="http://schemas.openxmlformats.org/officeDocument/2006/relationships/hyperlink" Target="https://arxiv.org/abs/2404.15081" TargetMode="External"/><Relationship Id="rId106" Type="http://schemas.openxmlformats.org/officeDocument/2006/relationships/hyperlink" Target="https://scholar.google.com/scholar?q=%22Perturbing%20Attention%20Gives%20You%20More%20Bang%20for%20the%20Buck%3A%20Subtle%20Imaging%20Perturbations%20That%20Efficiently%20Fool%20Customized%20Diffusion%20Models%22" TargetMode="External"/><Relationship Id="rId107" Type="http://schemas.openxmlformats.org/officeDocument/2006/relationships/hyperlink" Target="https://github.com/Tencent/TFace" TargetMode="External"/><Relationship Id="rId108" Type="http://schemas.openxmlformats.org/officeDocument/2006/relationships/hyperlink" Target="https://openaccess.thecvf.com/content/CVPR2024/html/Mi_Privacy-Preserving_Face_Recognition_Using_Trainable_Feature_Subtraction_CVPR_2024_paper.html" TargetMode="External"/><Relationship Id="rId109" Type="http://schemas.openxmlformats.org/officeDocument/2006/relationships/hyperlink" Target="https://scholar.google.com/scholar?q=%22Privacy-Preserving%20Face%20Recognition%20Using%20Trainable%20Feature%20Subtraction%22" TargetMode="External"/><Relationship Id="rId110" Type="http://schemas.openxmlformats.org/officeDocument/2006/relationships/hyperlink" Target="https://github.com/OPTML-Group/Unlearn-Saliency" TargetMode="External"/><Relationship Id="rId111" Type="http://schemas.openxmlformats.org/officeDocument/2006/relationships/hyperlink" Target="https://arxiv.org/abs/2310.12508" TargetMode="External"/><Relationship Id="rId112" Type="http://schemas.openxmlformats.org/officeDocument/2006/relationships/hyperlink" Target="https://scholar.google.com/scholar?q=%22SalUn%3A%20Empowering%20Machine%20Unlearning%20via%20Gradient-Based%20Weight%20Saliency%20in%20Both%20Image%20Classification%20and%20Generation%22" TargetMode="External"/><Relationship Id="rId113" Type="http://schemas.openxmlformats.org/officeDocument/2006/relationships/hyperlink" Target="https://github.com/somuchtome/SimAC" TargetMode="External"/><Relationship Id="rId114" Type="http://schemas.openxmlformats.org/officeDocument/2006/relationships/hyperlink" Target="https://arxiv.org/abs/2312.07865" TargetMode="External"/><Relationship Id="rId115" Type="http://schemas.openxmlformats.org/officeDocument/2006/relationships/hyperlink" Target="https://scholar.google.com/scholar?q=%22SimAC%3A%20A%20Simple%20Anti-Customization%20Method%20for%20Protecting%20Face%20Privacy%20against%20Text-to-Image%20Synthesis%20of%20Diffusion%20Models%22" TargetMode="External"/><Relationship Id="rId116" Type="http://schemas.openxmlformats.org/officeDocument/2006/relationships/hyperlink" Target="https://arxiv.org/abs/2303.08500" TargetMode="External"/><Relationship Id="rId117" Type="http://schemas.openxmlformats.org/officeDocument/2006/relationships/hyperlink" Target="https://scholar.google.com/scholar?q=%22The%20Devil%27s%20Advocate%3A%20Shattering%20the%20Illusion%20of%20Unexploitable%20Data%20using%20Diffusion%20Models%22" TargetMode="External"/><Relationship Id="rId118" Type="http://schemas.openxmlformats.org/officeDocument/2006/relationships/hyperlink" Target="https://doi.org/10.1109/TIFS.2024.3381820" TargetMode="External"/><Relationship Id="rId119" Type="http://schemas.openxmlformats.org/officeDocument/2006/relationships/hyperlink" Target="https://scholar.google.com/scholar?q=%22Vulnerability%20of%20State-of-the-Art%20Face%20Recognition%20Models%20to%20Template%20Inversion%20Attack%22" TargetMode="External"/><Relationship Id="rId120" Type="http://schemas.openxmlformats.org/officeDocument/2006/relationships/hyperlink" Target="https://arxiv.org/abs/2007.07646" TargetMode="External"/><Relationship Id="rId121" Type="http://schemas.openxmlformats.org/officeDocument/2006/relationships/hyperlink" Target="https://scholar.google.com/scholar?q=%22A%20Survey%20of%20Privacy%20Attacks%20in%20Machine%20Learning%22" TargetMode="External"/><Relationship Id="rId122" Type="http://schemas.openxmlformats.org/officeDocument/2006/relationships/hyperlink" Target="https://github.com/nupurkmr9/concept-ablation" TargetMode="External"/><Relationship Id="rId123" Type="http://schemas.openxmlformats.org/officeDocument/2006/relationships/hyperlink" Target="https://arxiv.org/abs/2303.13516" TargetMode="External"/><Relationship Id="rId124" Type="http://schemas.openxmlformats.org/officeDocument/2006/relationships/hyperlink" Target="https://scholar.google.com/scholar?q=%22Ablating%20Concepts%20in%20Text-to-Image%20Diffusion%20Models%22" TargetMode="External"/><Relationship Id="rId125" Type="http://schemas.openxmlformats.org/officeDocument/2006/relationships/hyperlink" Target="https://github.com/mist-project/mist" TargetMode="External"/><Relationship Id="rId126" Type="http://schemas.openxmlformats.org/officeDocument/2006/relationships/hyperlink" Target="https://arxiv.org/abs/2302.04578" TargetMode="External"/><Relationship Id="rId127" Type="http://schemas.openxmlformats.org/officeDocument/2006/relationships/hyperlink" Target="https://scholar.google.com/scholar?q=%22Adversarial%20Example%20Does%20Good%3A%20Preventing%20Painting%20Imitation%20from%20Diffusion%20Models%20via%20Adversarial%20Examples%22" TargetMode="External"/><Relationship Id="rId128" Type="http://schemas.openxmlformats.org/officeDocument/2006/relationships/hyperlink" Target="https://github.com/VinAIResearch/Anti-DreamBooth" TargetMode="External"/><Relationship Id="rId129" Type="http://schemas.openxmlformats.org/officeDocument/2006/relationships/hyperlink" Target="https://arxiv.org/abs/2303.15433" TargetMode="External"/><Relationship Id="rId130" Type="http://schemas.openxmlformats.org/officeDocument/2006/relationships/hyperlink" Target="https://scholar.google.com/scholar?q=%22Anti-DreamBooth%3A%20Protecting%20Users%20from%20Personalized%20Text-to-Image%20Synthesis%22" TargetMode="External"/><Relationship Id="rId131" Type="http://schemas.openxmlformats.org/officeDocument/2006/relationships/hyperlink" Target="https://github.com/chi0tzp/FALCO" TargetMode="External"/><Relationship Id="rId132" Type="http://schemas.openxmlformats.org/officeDocument/2006/relationships/hyperlink" Target="https://arxiv.org/abs/2303.11296" TargetMode="External"/><Relationship Id="rId133" Type="http://schemas.openxmlformats.org/officeDocument/2006/relationships/hyperlink" Target="https://scholar.google.com/scholar?q=%22Attribute-Preserving%20Face%20Dataset%20Anonymization%20via%20Latent%20Code%20Optimization%22" TargetMode="External"/><Relationship Id="rId134" Type="http://schemas.openxmlformats.org/officeDocument/2006/relationships/hyperlink" Target="https://arxiv.org/abs/2110.05044" TargetMode="External"/><Relationship Id="rId135" Type="http://schemas.openxmlformats.org/officeDocument/2006/relationships/hyperlink" Target="https://scholar.google.com/scholar?q=%22Biometric%20Template%20Protection%20for%20Neural-Network-Based%20Face%20Recognition%20Systems%3A%20A%20Survey%20of%20Methods%20and%20Evaluation%20Techniques%22" TargetMode="External"/><Relationship Id="rId136" Type="http://schemas.openxmlformats.org/officeDocument/2006/relationships/hyperlink" Target="https://arxiv.org/abs/2303.11570" TargetMode="External"/><Relationship Id="rId137" Type="http://schemas.openxmlformats.org/officeDocument/2006/relationships/hyperlink" Target="https://scholar.google.com/scholar?q=%22Boundary%20Unlearning%3A%20Rapid%20Forgetting%20of%20Deep%20Networks%20via%20Shifting%20the%20Decision%20Boundary%22" TargetMode="External"/><Relationship Id="rId138" Type="http://schemas.openxmlformats.org/officeDocument/2006/relationships/hyperlink" Target="https://github.com/fahadshamshad/Clip2Protect" TargetMode="External"/><Relationship Id="rId139" Type="http://schemas.openxmlformats.org/officeDocument/2006/relationships/hyperlink" Target="https://arxiv.org/abs/2306.10008" TargetMode="External"/><Relationship Id="rId140" Type="http://schemas.openxmlformats.org/officeDocument/2006/relationships/hyperlink" Target="https://scholar.google.com/scholar?q=%22CLIP2Protect%3A%20Protecting%20Facial%20Privacy%20using%20Text-Guided%20Makeup%20via%20Adversarial%20Latent%20Search%22" TargetMode="External"/><Relationship Id="rId141" Type="http://schemas.openxmlformats.org/officeDocument/2006/relationships/hyperlink" Target="https://github.com/vinusankars/Convolution-based-Unlearnability" TargetMode="External"/><Relationship Id="rId142" Type="http://schemas.openxmlformats.org/officeDocument/2006/relationships/hyperlink" Target="https://arxiv.org/abs/2303.04278" TargetMode="External"/><Relationship Id="rId143" Type="http://schemas.openxmlformats.org/officeDocument/2006/relationships/hyperlink" Target="https://scholar.google.com/scholar?q=%22CUDA%3A%20Convolution-based%20Unlearnable%20Datasets%22" TargetMode="External"/><Relationship Id="rId144" Type="http://schemas.openxmlformats.org/officeDocument/2006/relationships/hyperlink" Target="https://github.com/vikram2000b/bad-teaching-unlearning" TargetMode="External"/><Relationship Id="rId145" Type="http://schemas.openxmlformats.org/officeDocument/2006/relationships/hyperlink" Target="https://arxiv.org/abs/2205.08096" TargetMode="External"/><Relationship Id="rId146" Type="http://schemas.openxmlformats.org/officeDocument/2006/relationships/hyperlink" Target="https://scholar.google.com/scholar?q=%22Can%20Bad%20Teaching%20Induce%20Forgetting%3F%20Unlearning%20in%20Deep%20Networks%20Using%20an%20Incompetent%20Teacher%22" TargetMode="External"/><Relationship Id="rId147" Type="http://schemas.openxmlformats.org/officeDocument/2006/relationships/hyperlink" Target="https://doi.org/10.1109/TPAMI.2023.3312123" TargetMode="External"/><Relationship Id="rId148" Type="http://schemas.openxmlformats.org/officeDocument/2006/relationships/hyperlink" Target="https://scholar.google.com/scholar?q=%22Comprehensive%20Vulnerability%20Evaluation%20of%20Face%20Recognition%20Systems%20to%20Template%20Inversion%20Attacks%20via%203D%20Face%20Reconstruction%22" TargetMode="External"/><Relationship Id="rId149" Type="http://schemas.openxmlformats.org/officeDocument/2006/relationships/hyperlink" Target="https://github.com/mk-minchul/dcface" TargetMode="External"/><Relationship Id="rId150" Type="http://schemas.openxmlformats.org/officeDocument/2006/relationships/hyperlink" Target="https://arxiv.org/abs/2304.07060" TargetMode="External"/><Relationship Id="rId151" Type="http://schemas.openxmlformats.org/officeDocument/2006/relationships/hyperlink" Target="https://scholar.google.com/scholar?q=%22DCFace%3A%20Synthetic%20Face%20Generation%20with%20Dual%20Condition%20Diffusion%20Model%22" TargetMode="External"/><Relationship Id="rId152" Type="http://schemas.openxmlformats.org/officeDocument/2006/relationships/hyperlink" Target="https://github.com/hukkelas/deep_privacy2" TargetMode="External"/><Relationship Id="rId153" Type="http://schemas.openxmlformats.org/officeDocument/2006/relationships/hyperlink" Target="https://arxiv.org/abs/2211.09454" TargetMode="External"/><Relationship Id="rId154" Type="http://schemas.openxmlformats.org/officeDocument/2006/relationships/hyperlink" Target="https://scholar.google.com/scholar?q=%22DeepPrivacy2%3A%20Towards%20Realistic%20Full-Body%20Anonymization%22" TargetMode="External"/><Relationship Id="rId155" Type="http://schemas.openxmlformats.org/officeDocument/2006/relationships/hyperlink" Target="https://github.com/nv-tlabs/DP-Diffusion" TargetMode="External"/><Relationship Id="rId156" Type="http://schemas.openxmlformats.org/officeDocument/2006/relationships/hyperlink" Target="https://arxiv.org/abs/2210.09929" TargetMode="External"/><Relationship Id="rId157" Type="http://schemas.openxmlformats.org/officeDocument/2006/relationships/hyperlink" Target="https://scholar.google.com/scholar?q=%22Differentially%20Private%20Diffusion%20Models%22" TargetMode="External"/><Relationship Id="rId158" Type="http://schemas.openxmlformats.org/officeDocument/2006/relationships/hyperlink" Target="https://arxiv.org/abs/2302.13861" TargetMode="External"/><Relationship Id="rId159" Type="http://schemas.openxmlformats.org/officeDocument/2006/relationships/hyperlink" Target="https://scholar.google.com/scholar?q=%22Differentially%20Private%20Diffusion%20Models%20Generate%20Useful%20Synthetic%20Images%22" TargetMode="External"/><Relationship Id="rId160" Type="http://schemas.openxmlformats.org/officeDocument/2006/relationships/hyperlink" Target="https://github.com/microsoft/DigiFace1M" TargetMode="External"/><Relationship Id="rId161" Type="http://schemas.openxmlformats.org/officeDocument/2006/relationships/hyperlink" Target="https://arxiv.org/abs/2210.02579" TargetMode="External"/><Relationship Id="rId162" Type="http://schemas.openxmlformats.org/officeDocument/2006/relationships/hyperlink" Target="https://scholar.google.com/scholar?q=%22DigiFace-1M%3A%201%20Million%20Digital%20Face%20Images%20for%20Face%20Recognition%22" TargetMode="External"/><Relationship Id="rId163" Type="http://schemas.openxmlformats.org/officeDocument/2006/relationships/hyperlink" Target="https://openaccess.thecvf.com/content/ICCV2023/html/Wen_Divide_and_Conquer_a_Two-Step_Method_for_High_Quality_Face_ICCV_2023_paper.html" TargetMode="External"/><Relationship Id="rId164" Type="http://schemas.openxmlformats.org/officeDocument/2006/relationships/hyperlink" Target="https://scholar.google.com/scholar?q=%22Divide%20and%20Conquer%3A%20a%20Two-Step%20Method%20for%20High%20Quality%20Face%20De-Identification%20with%20Model%20Explainability%22" TargetMode="External"/><Relationship Id="rId165" Type="http://schemas.openxmlformats.org/officeDocument/2006/relationships/hyperlink" Target="https://github.com/hukkelas/deep_privacy2" TargetMode="External"/><Relationship Id="rId166" Type="http://schemas.openxmlformats.org/officeDocument/2006/relationships/hyperlink" Target="https://arxiv.org/abs/2306.05135" TargetMode="External"/><Relationship Id="rId167" Type="http://schemas.openxmlformats.org/officeDocument/2006/relationships/hyperlink" Target="https://scholar.google.com/scholar?q=%22Does%20Image%20Anonymization%20Impact%20Computer%20Vision%20Training%3F%22" TargetMode="External"/><Relationship Id="rId168" Type="http://schemas.openxmlformats.org/officeDocument/2006/relationships/hyperlink" Target="https://github.com/rohitgandikota/erasing" TargetMode="External"/><Relationship Id="rId169" Type="http://schemas.openxmlformats.org/officeDocument/2006/relationships/hyperlink" Target="https://arxiv.org/abs/2303.07345" TargetMode="External"/><Relationship Id="rId170" Type="http://schemas.openxmlformats.org/officeDocument/2006/relationships/hyperlink" Target="https://scholar.google.com/scholar?q=%22Erasing%20Concepts%20from%20Diffusion%20Models%22" TargetMode="External"/><Relationship Id="rId171" Type="http://schemas.openxmlformats.org/officeDocument/2006/relationships/hyperlink" Target="https://github.com/MinChen00/Face-Auditor" TargetMode="External"/><Relationship Id="rId172" Type="http://schemas.openxmlformats.org/officeDocument/2006/relationships/hyperlink" Target="https://arxiv.org/abs/2304.02782" TargetMode="External"/><Relationship Id="rId173" Type="http://schemas.openxmlformats.org/officeDocument/2006/relationships/hyperlink" Target="https://scholar.google.com/scholar?q=%22FACE-AUDITOR%3A%20Data%20Auditing%20in%20Facial%20Recognition%20Systems%22" TargetMode="External"/><Relationship Id="rId174" Type="http://schemas.openxmlformats.org/officeDocument/2006/relationships/hyperlink" Target="https://arxiv.org/abs/2309.04228" TargetMode="External"/><Relationship Id="rId175" Type="http://schemas.openxmlformats.org/officeDocument/2006/relationships/hyperlink" Target="https://scholar.google.com/scholar?q=%22FIVA%3A%20Facial%20Image%20and%20Video%20Anonymization%20and%20Anonymization%20Defense%22" TargetMode="External"/><Relationship Id="rId176" Type="http://schemas.openxmlformats.org/officeDocument/2006/relationships/hyperlink" Target="https://proceedings.neurips.cc/paper_files/paper/2023/hash/29e4b51d45dc8f534260adc45b587363-Abstract-Conference.html" TargetMode="External"/><Relationship Id="rId177" Type="http://schemas.openxmlformats.org/officeDocument/2006/relationships/hyperlink" Target="https://scholar.google.com/scholar?q=%22Face%20Reconstruction%20from%20Facial%20Templates%20by%20Learning%20Latent%20Space%20of%20a%20Generator%20Network%22" TargetMode="External"/><Relationship Id="rId178" Type="http://schemas.openxmlformats.org/officeDocument/2006/relationships/hyperlink" Target="https://arxiv.org/abs/2302.04222" TargetMode="External"/><Relationship Id="rId179" Type="http://schemas.openxmlformats.org/officeDocument/2006/relationships/hyperlink" Target="https://scholar.google.com/scholar?q=%22Glaze%3A%20Protecting%20Artists%20from%20Style%20Mimicry%20by%20Text-to-Image%20Models%22" TargetMode="External"/><Relationship Id="rId180" Type="http://schemas.openxmlformats.org/officeDocument/2006/relationships/hyperlink" Target="https://github.com/fdbtrs/IDiff-Face" TargetMode="External"/><Relationship Id="rId181" Type="http://schemas.openxmlformats.org/officeDocument/2006/relationships/hyperlink" Target="https://arxiv.org/abs/2308.04995" TargetMode="External"/><Relationship Id="rId182" Type="http://schemas.openxmlformats.org/officeDocument/2006/relationships/hyperlink" Target="https://scholar.google.com/scholar?q=%22IDiff-Face%3A%20Synthetic-based%20Face%20Recognition%20through%20Fuzzy%20Identity-Conditioned%20Diffusion%20Models%22" TargetMode="External"/><Relationship Id="rId183" Type="http://schemas.openxmlformats.org/officeDocument/2006/relationships/hyperlink" Target="https://arxiv.org/abs/2310.19248" TargetMode="External"/><Relationship Id="rId184" Type="http://schemas.openxmlformats.org/officeDocument/2006/relationships/hyperlink" Target="https://scholar.google.com/scholar?q=%22IMPRESS%3A%20Evaluating%20the%20Resilience%20of%20Imperceptible%20Perturbations%20Against%20Unauthorized%20Data%20Usage%20in%20Diffusion-Based%20Generative%20AI%22" TargetMode="External"/><Relationship Id="rId185" Type="http://schemas.openxmlformats.org/officeDocument/2006/relationships/hyperlink" Target="https://github.com/liuzrcc/ImageShortcutSqueezing" TargetMode="External"/><Relationship Id="rId186" Type="http://schemas.openxmlformats.org/officeDocument/2006/relationships/hyperlink" Target="https://arxiv.org/abs/2301.13838" TargetMode="External"/><Relationship Id="rId187" Type="http://schemas.openxmlformats.org/officeDocument/2006/relationships/hyperlink" Target="https://scholar.google.com/scholar?q=%22Image%20Shortcut%20Squeezing%3A%20Countering%20Perturbative%20Availability%20Poisons%20with%20Compression%22" TargetMode="External"/><Relationship Id="rId188" Type="http://schemas.openxmlformats.org/officeDocument/2006/relationships/hyperlink" Target="https://arxiv.org/abs/2302.08931" TargetMode="External"/><Relationship Id="rId189" Type="http://schemas.openxmlformats.org/officeDocument/2006/relationships/hyperlink" Target="https://scholar.google.com/scholar?q=%22LDFA%3A%20Latent%20Diffusion%20Face%20Anonymization%20for%20Self-Driving%20Applications%22" TargetMode="External"/><Relationship Id="rId190" Type="http://schemas.openxmlformats.org/officeDocument/2006/relationships/hyperlink" Target="https://arxiv.org/abs/2301.02516" TargetMode="External"/><Relationship Id="rId191" Type="http://schemas.openxmlformats.org/officeDocument/2006/relationships/hyperlink" Target="https://scholar.google.com/scholar?q=%22Multi-IVE%3A%20Privacy%20Enhancement%20of%20Multiple%20Soft-Biometrics%20in%20Face%20Embeddings%22" TargetMode="External"/><Relationship Id="rId192" Type="http://schemas.openxmlformats.org/officeDocument/2006/relationships/hyperlink" Target="https://arxiv.org/abs/2211.01361" TargetMode="External"/><Relationship Id="rId193" Type="http://schemas.openxmlformats.org/officeDocument/2006/relationships/hyperlink" Target="https://scholar.google.com/scholar?q=%22My%20Face%20My%20Choice%3A%20Privacy%20Enhancing%20Deepfakes%20for%20Social%20Media%20Anonymization%22" TargetMode="External"/><Relationship Id="rId194" Type="http://schemas.openxmlformats.org/officeDocument/2006/relationships/hyperlink" Target="https://github.com/cychomatica/One-Pixel-Shotcut" TargetMode="External"/><Relationship Id="rId195" Type="http://schemas.openxmlformats.org/officeDocument/2006/relationships/hyperlink" Target="https://arxiv.org/abs/2205.12141" TargetMode="External"/><Relationship Id="rId196" Type="http://schemas.openxmlformats.org/officeDocument/2006/relationships/hyperlink" Target="https://scholar.google.com/scholar?q=%22One-Pixel%20Shortcut%3A%20On%20the%20Learning%20Preference%20of%20Deep%20Neural%20Networks%22" TargetMode="External"/><Relationship Id="rId197" Type="http://schemas.openxmlformats.org/officeDocument/2006/relationships/hyperlink" Target="https://github.com/Tencent/TFace" TargetMode="External"/><Relationship Id="rId198" Type="http://schemas.openxmlformats.org/officeDocument/2006/relationships/hyperlink" Target="https://arxiv.org/abs/2308.10461" TargetMode="External"/><Relationship Id="rId199" Type="http://schemas.openxmlformats.org/officeDocument/2006/relationships/hyperlink" Target="https://scholar.google.com/scholar?q=%22Privacy-Preserving%20Face%20Recognition%20Using%20Random%20Frequency%20Components%22" TargetMode="External"/><Relationship Id="rId200" Type="http://schemas.openxmlformats.org/officeDocument/2006/relationships/hyperlink" Target="https://github.com/MadryLab/photoguard" TargetMode="External"/><Relationship Id="rId201" Type="http://schemas.openxmlformats.org/officeDocument/2006/relationships/hyperlink" Target="https://arxiv.org/abs/2302.06588" TargetMode="External"/><Relationship Id="rId202" Type="http://schemas.openxmlformats.org/officeDocument/2006/relationships/hyperlink" Target="https://scholar.google.com/scholar?q=%22Raising%20the%20Cost%20of%20Malicious%20AI-Powered%20Image%20Editing%22" TargetMode="External"/><Relationship Id="rId203" Type="http://schemas.openxmlformats.org/officeDocument/2006/relationships/hyperlink" Target="https://github.com/DongzeLi-CASIA/RiDDLE" TargetMode="External"/><Relationship Id="rId204" Type="http://schemas.openxmlformats.org/officeDocument/2006/relationships/hyperlink" Target="https://arxiv.org/abs/2303.05171" TargetMode="External"/><Relationship Id="rId205" Type="http://schemas.openxmlformats.org/officeDocument/2006/relationships/hyperlink" Target="https://scholar.google.com/scholar?q=%22RiDDLE%3A%20Reversible%20and%20Diversified%20De-identification%20with%20Latent%20Encryptor%22" TargetMode="External"/><Relationship Id="rId206" Type="http://schemas.openxmlformats.org/officeDocument/2006/relationships/hyperlink" Target="https://github.com/clear-nus/selective-amnesia" TargetMode="External"/><Relationship Id="rId207" Type="http://schemas.openxmlformats.org/officeDocument/2006/relationships/hyperlink" Target="https://arxiv.org/abs/2305.10120" TargetMode="External"/><Relationship Id="rId208" Type="http://schemas.openxmlformats.org/officeDocument/2006/relationships/hyperlink" Target="https://scholar.google.com/scholar?q=%22Selective%20Amnesia%3A%20A%20Continual%20Learning%20Approach%20to%20Forgetting%20in%20Deep%20Generative%20Models%22" TargetMode="External"/><Relationship Id="rId209" Type="http://schemas.openxmlformats.org/officeDocument/2006/relationships/hyperlink" Target="https://arxiv.org/abs/2112.04558" TargetMode="External"/><Relationship Id="rId210" Type="http://schemas.openxmlformats.org/officeDocument/2006/relationships/hyperlink" Target="https://scholar.google.com/scholar?q=%22SoK%3A%20Anti-Facial%20Recognition%20Technology%22" TargetMode="External"/><Relationship Id="rId211" Type="http://schemas.openxmlformats.org/officeDocument/2006/relationships/hyperlink" Target="https://arxiv.org/abs/2305.01021" TargetMode="External"/><Relationship Id="rId212" Type="http://schemas.openxmlformats.org/officeDocument/2006/relationships/hyperlink" Target="https://scholar.google.com/scholar?q=%22Synthetic%20Data%20for%20Face%20Recognition%3A%20Current%20State%20and%20Future%20Prospects%22" TargetMode="External"/><Relationship Id="rId213" Type="http://schemas.openxmlformats.org/officeDocument/2006/relationships/hyperlink" Target="https://github.com/meghdadk/SCRUB" TargetMode="External"/><Relationship Id="rId214" Type="http://schemas.openxmlformats.org/officeDocument/2006/relationships/hyperlink" Target="https://arxiv.org/abs/2302.09880" TargetMode="External"/><Relationship Id="rId215" Type="http://schemas.openxmlformats.org/officeDocument/2006/relationships/hyperlink" Target="https://scholar.google.com/scholar?q=%22Towards%20Unbounded%20Machine%20Unlearning%22" TargetMode="External"/><Relationship Id="rId216" Type="http://schemas.openxmlformats.org/officeDocument/2006/relationships/hyperlink" Target="https://arxiv.org/abs/2210.10114" TargetMode="External"/><Relationship Id="rId217" Type="http://schemas.openxmlformats.org/officeDocument/2006/relationships/hyperlink" Target="https://scholar.google.com/scholar?q=%22Transferable%20Unlearnable%20Examples%22" TargetMode="External"/><Relationship Id="rId218" Type="http://schemas.openxmlformats.org/officeDocument/2006/relationships/hyperlink" Target="https://github.com/jiamingzhang94/Unlearnable-Clusters" TargetMode="External"/><Relationship Id="rId219" Type="http://schemas.openxmlformats.org/officeDocument/2006/relationships/hyperlink" Target="https://arxiv.org/abs/2301.01217" TargetMode="External"/><Relationship Id="rId220" Type="http://schemas.openxmlformats.org/officeDocument/2006/relationships/hyperlink" Target="https://scholar.google.com/scholar?q=%22Unlearnable%20Clusters%3A%20Towards%20Label-Agnostic%20Unlearnable%20Examples%22" TargetMode="External"/><Relationship Id="rId221" Type="http://schemas.openxmlformats.org/officeDocument/2006/relationships/hyperlink" Target="https://www.penguinrandomhouse.com/books/705578/your-face-belongs-to-us-by-kashmir-hill/" TargetMode="External"/><Relationship Id="rId222" Type="http://schemas.openxmlformats.org/officeDocument/2006/relationships/hyperlink" Target="https://scholar.google.com/scholar?q=%22Your%20Face%20Belongs%20to%20Us%3A%20A%20Secretive%20Startup%27s%20Quest%20to%20End%20Privacy%20as%20We%20Know%20It%22" TargetMode="External"/><Relationship Id="rId223" Type="http://schemas.openxmlformats.org/officeDocument/2006/relationships/hyperlink" Target="https://arxiv.org/abs/2201.05629" TargetMode="External"/><Relationship Id="rId224" Type="http://schemas.openxmlformats.org/officeDocument/2006/relationships/hyperlink" Target="https://scholar.google.com/scholar?q=%22Zero-Shot%20Machine%20Unlearning%22" TargetMode="External"/><Relationship Id="rId225" Type="http://schemas.openxmlformats.org/officeDocument/2006/relationships/hyperlink" Target="https://github.com/tamlhp/awesome-machine-unlearning" TargetMode="External"/><Relationship Id="rId226" Type="http://schemas.openxmlformats.org/officeDocument/2006/relationships/hyperlink" Target="https://arxiv.org/abs/2209.02299" TargetMode="External"/><Relationship Id="rId227" Type="http://schemas.openxmlformats.org/officeDocument/2006/relationships/hyperlink" Target="https://scholar.google.com/scholar?q=%22A%20Survey%20of%20Machine%20Unlearning%22" TargetMode="External"/><Relationship Id="rId228" Type="http://schemas.openxmlformats.org/officeDocument/2006/relationships/hyperlink" Target="https://github.com/AlonZolfi/AdversarialMask" TargetMode="External"/><Relationship Id="rId229" Type="http://schemas.openxmlformats.org/officeDocument/2006/relationships/hyperlink" Target="https://arxiv.org/abs/2111.10759" TargetMode="External"/><Relationship Id="rId230" Type="http://schemas.openxmlformats.org/officeDocument/2006/relationships/hyperlink" Target="https://scholar.google.com/scholar?q=%22Adversarial%20Mask%3A%20Real-World%20Universal%20Adversarial%20Attack%20on%20Face%20Recognition%20Models%22" TargetMode="External"/><Relationship Id="rId231" Type="http://schemas.openxmlformats.org/officeDocument/2006/relationships/hyperlink" Target="https://github.com/jinyugy21/Adv-Stickers_RHDE" TargetMode="External"/><Relationship Id="rId232" Type="http://schemas.openxmlformats.org/officeDocument/2006/relationships/hyperlink" Target="https://arxiv.org/abs/2104.06728" TargetMode="External"/><Relationship Id="rId233" Type="http://schemas.openxmlformats.org/officeDocument/2006/relationships/hyperlink" Target="https://scholar.google.com/scholar?q=%22Adversarial%20Sticker%3A%20A%20Stealthy%20Attack%20Method%20in%20the%20Physical%20World%22" TargetMode="External"/><Relationship Id="rId234" Type="http://schemas.openxmlformats.org/officeDocument/2006/relationships/hyperlink" Target="https://arxiv.org/abs/2111.12405" TargetMode="External"/><Relationship Id="rId235" Type="http://schemas.openxmlformats.org/officeDocument/2006/relationships/hyperlink" Target="https://scholar.google.com/scholar?q=%22An%20Attack%20on%20Facial%20Soft-Biometric%20Privacy%20Enhancement%22" TargetMode="External"/><Relationship Id="rId236" Type="http://schemas.openxmlformats.org/officeDocument/2006/relationships/hyperlink" Target="https://github.com/psandovalsegura/autoregressive-poisoning" TargetMode="External"/><Relationship Id="rId237" Type="http://schemas.openxmlformats.org/officeDocument/2006/relationships/hyperlink" Target="https://arxiv.org/abs/2206.03693" TargetMode="External"/><Relationship Id="rId238" Type="http://schemas.openxmlformats.org/officeDocument/2006/relationships/hyperlink" Target="https://scholar.google.com/scholar?q=%22Autoregressive%20Perturbations%20for%20Data%20Poisoning%22" TargetMode="External"/><Relationship Id="rId239" Type="http://schemas.openxmlformats.org/officeDocument/2006/relationships/hyperlink" Target="https://github.com/dayu11/Availability-Attacks-Create-Shortcuts" TargetMode="External"/><Relationship Id="rId240" Type="http://schemas.openxmlformats.org/officeDocument/2006/relationships/hyperlink" Target="https://arxiv.org/abs/2111.00898" TargetMode="External"/><Relationship Id="rId241" Type="http://schemas.openxmlformats.org/officeDocument/2006/relationships/hyperlink" Target="https://scholar.google.com/scholar?q=%22Availability%20Attacks%20Create%20Shortcuts%22" TargetMode="External"/><Relationship Id="rId242" Type="http://schemas.openxmlformats.org/officeDocument/2006/relationships/hyperlink" Target="https://github.com/ftramer/FaceCure" TargetMode="External"/><Relationship Id="rId243" Type="http://schemas.openxmlformats.org/officeDocument/2006/relationships/hyperlink" Target="https://arxiv.org/abs/2106.14851" TargetMode="External"/><Relationship Id="rId244" Type="http://schemas.openxmlformats.org/officeDocument/2006/relationships/hyperlink" Target="https://scholar.google.com/scholar?q=%22Data%20Poisoning%20Won%27t%20Save%20You%20From%20Facial%20Recognition%22" TargetMode="External"/><Relationship Id="rId245" Type="http://schemas.openxmlformats.org/officeDocument/2006/relationships/hyperlink" Target="https://arxiv.org/abs/2102.02458" TargetMode="External"/><Relationship Id="rId246" Type="http://schemas.openxmlformats.org/officeDocument/2006/relationships/hyperlink" Target="https://scholar.google.com/scholar?q=%22Deep%20Face%20Fuzzy%20Vault%3A%20Implementation%20and%20Performance%22" TargetMode="External"/><Relationship Id="rId247" Type="http://schemas.openxmlformats.org/officeDocument/2006/relationships/hyperlink" Target="https://doi.org/10.1016/j.future.2021.11.032" TargetMode="External"/><Relationship Id="rId248" Type="http://schemas.openxmlformats.org/officeDocument/2006/relationships/hyperlink" Target="https://scholar.google.com/scholar?q=%22Differentially%20Private%20Facial%20Obfuscation%20via%20Generative%20Adversarial%20Networks%22" TargetMode="External"/><Relationship Id="rId249" Type="http://schemas.openxmlformats.org/officeDocument/2006/relationships/hyperlink" Target="https://github.com/Tencent/TFace" TargetMode="External"/><Relationship Id="rId250" Type="http://schemas.openxmlformats.org/officeDocument/2006/relationships/hyperlink" Target="https://arxiv.org/abs/2207.07340" TargetMode="External"/><Relationship Id="rId251" Type="http://schemas.openxmlformats.org/officeDocument/2006/relationships/hyperlink" Target="https://scholar.google.com/scholar?q=%22DuetFace%3A%20Collaborative%20Privacy-Preserving%20Face%20Recognition%20via%20Channel%20Splitting%20in%20the%20Frequency%20Domain%22" TargetMode="External"/><Relationship Id="rId252" Type="http://schemas.openxmlformats.org/officeDocument/2006/relationships/hyperlink" Target="https://github.com/jackie840129/FedFR" TargetMode="External"/><Relationship Id="rId253" Type="http://schemas.openxmlformats.org/officeDocument/2006/relationships/hyperlink" Target="https://arxiv.org/abs/2112.12496" TargetMode="External"/><Relationship Id="rId254" Type="http://schemas.openxmlformats.org/officeDocument/2006/relationships/hyperlink" Target="https://scholar.google.com/scholar?q=%22FedFR%3A%20Joint%20Optimization%20Federated%20Framework%20for%20Generic%20and%20Personalized%20Face%20Recognition%22" TargetMode="External"/><Relationship Id="rId255" Type="http://schemas.openxmlformats.org/officeDocument/2006/relationships/hyperlink" Target="https://arxiv.org/abs/2112.07246" TargetMode="External"/><Relationship Id="rId256" Type="http://schemas.openxmlformats.org/officeDocument/2006/relationships/hyperlink" Target="https://scholar.google.com/scholar?q=%22Federated%20Learning%20for%20Face%20Recognition%20with%20Gradient%20Correction%22" TargetMode="External"/><Relationship Id="rId257" Type="http://schemas.openxmlformats.org/officeDocument/2006/relationships/hyperlink" Target="https://github.com/human-analysis/hers-encrypted-image-search" TargetMode="External"/><Relationship Id="rId258" Type="http://schemas.openxmlformats.org/officeDocument/2006/relationships/hyperlink" Target="https://arxiv.org/abs/2003.12197" TargetMode="External"/><Relationship Id="rId259" Type="http://schemas.openxmlformats.org/officeDocument/2006/relationships/hyperlink" Target="https://scholar.google.com/scholar?q=%22HERS%3A%20Homomorphically%20Encrypted%20Representation%20Search%22" TargetMode="External"/><Relationship Id="rId260" Type="http://schemas.openxmlformats.org/officeDocument/2006/relationships/hyperlink" Target="https://doi.org/10.1109/IJCB54206.2022.10007960" TargetMode="External"/><Relationship Id="rId261" Type="http://schemas.openxmlformats.org/officeDocument/2006/relationships/hyperlink" Target="https://scholar.google.com/scholar?q=%22Hybrid%20Protection%20of%20Biometric%20Templates%20by%20Combining%20Homomorphic%20Encryption%20and%20Cancelable%20Biometrics%22" TargetMode="External"/><Relationship Id="rId262" Type="http://schemas.openxmlformats.org/officeDocument/2006/relationships/hyperlink" Target="https://www.iso.org/standard/75302.html" TargetMode="External"/><Relationship Id="rId263" Type="http://schemas.openxmlformats.org/officeDocument/2006/relationships/hyperlink" Target="https://scholar.google.com/scholar?q=%22ISO/IEC%2024745%3A2022%20Information%20security%2C%20cybersecurity%20and%20privacy%20protection%3A%20Biometric%20information%20protection%22" TargetMode="External"/><Relationship Id="rId264" Type="http://schemas.openxmlformats.org/officeDocument/2006/relationships/hyperlink" Target="https://arxiv.org/abs/2103.01745" TargetMode="External"/><Relationship Id="rId265" Type="http://schemas.openxmlformats.org/officeDocument/2006/relationships/hyperlink" Target="https://scholar.google.com/scholar?q=%22IdentityDP%3A%20Differential%20Private%20Identification%20Protection%20for%20Face%20Images%22" TargetMode="External"/><Relationship Id="rId266" Type="http://schemas.openxmlformats.org/officeDocument/2006/relationships/hyperlink" Target="https://github.com/zhongyy/OPOM" TargetMode="External"/><Relationship Id="rId267" Type="http://schemas.openxmlformats.org/officeDocument/2006/relationships/hyperlink" Target="https://arxiv.org/abs/2205.11981" TargetMode="External"/><Relationship Id="rId268" Type="http://schemas.openxmlformats.org/officeDocument/2006/relationships/hyperlink" Target="https://scholar.google.com/scholar?q=%22OPOM%3A%20Customized%20Invisible%20Cloak%20towards%20Face%20Privacy%20Protection%22" TargetMode="External"/><Relationship Id="rId269" Type="http://schemas.openxmlformats.org/officeDocument/2006/relationships/hyperlink" Target="https://doi.org/10.1609/aaai.v36i3.20157" TargetMode="External"/><Relationship Id="rId270" Type="http://schemas.openxmlformats.org/officeDocument/2006/relationships/hyperlink" Target="https://scholar.google.com/scholar?q=%22Privacy-Preserving%20Face%20Recognition%20in%20the%20Frequency%20Domain%22" TargetMode="External"/><Relationship Id="rId271" Type="http://schemas.openxmlformats.org/officeDocument/2006/relationships/hyperlink" Target="https://github.com/Tencent/TFace" TargetMode="External"/><Relationship Id="rId272" Type="http://schemas.openxmlformats.org/officeDocument/2006/relationships/hyperlink" Target="https://arxiv.org/abs/2207.07316" TargetMode="External"/><Relationship Id="rId273" Type="http://schemas.openxmlformats.org/officeDocument/2006/relationships/hyperlink" Target="https://scholar.google.com/scholar?q=%22Privacy-Preserving%20Face%20Recognition%20with%20Learnable%20Privacy%20Budgets%20in%20Frequency%20Domain%22" TargetMode="External"/><Relationship Id="rId274" Type="http://schemas.openxmlformats.org/officeDocument/2006/relationships/hyperlink" Target="https://github.com/CGCL-codes/AMT-GAN" TargetMode="External"/><Relationship Id="rId275" Type="http://schemas.openxmlformats.org/officeDocument/2006/relationships/hyperlink" Target="https://arxiv.org/abs/2203.03121" TargetMode="External"/><Relationship Id="rId276" Type="http://schemas.openxmlformats.org/officeDocument/2006/relationships/hyperlink" Target="https://scholar.google.com/scholar?q=%22Protecting%20Facial%20Privacy%3A%20Generating%20Adversarial%20Identity%20Masks%20via%20Style-Robust%20Makeup%20Transfer%22" TargetMode="External"/><Relationship Id="rId277" Type="http://schemas.openxmlformats.org/officeDocument/2006/relationships/hyperlink" Target="https://github.com/fshp971/robust-unlearnable-examples" TargetMode="External"/><Relationship Id="rId278" Type="http://schemas.openxmlformats.org/officeDocument/2006/relationships/hyperlink" Target="https://arxiv.org/abs/2203.14533" TargetMode="External"/><Relationship Id="rId279" Type="http://schemas.openxmlformats.org/officeDocument/2006/relationships/hyperlink" Target="https://scholar.google.com/scholar?q=%22Robust%20Unlearnable%20Examples%3A%20Protecting%20Data%20Against%20Adversarial%20Learning%22" TargetMode="External"/><Relationship Id="rId280" Type="http://schemas.openxmlformats.org/officeDocument/2006/relationships/hyperlink" Target="https://github.com/fdbtrs/SFace-Privacy-friendly-and-Accurate-Face-Recognition-using-Synthetic-Data" TargetMode="External"/><Relationship Id="rId281" Type="http://schemas.openxmlformats.org/officeDocument/2006/relationships/hyperlink" Target="https://arxiv.org/abs/2206.10520" TargetMode="External"/><Relationship Id="rId282" Type="http://schemas.openxmlformats.org/officeDocument/2006/relationships/hyperlink" Target="https://scholar.google.com/scholar?q=%22SFace%3A%20Privacy-friendly%20and%20Accurate%20Face%20Recognition%20using%20Synthetic%20Data%22" TargetMode="External"/><Relationship Id="rId283" Type="http://schemas.openxmlformats.org/officeDocument/2006/relationships/hyperlink" Target="https://technology.idiap.ch/technologies/biometrics/polyprotect/" TargetMode="External"/><Relationship Id="rId284" Type="http://schemas.openxmlformats.org/officeDocument/2006/relationships/hyperlink" Target="https://arxiv.org/abs/2110.00434" TargetMode="External"/><Relationship Id="rId285" Type="http://schemas.openxmlformats.org/officeDocument/2006/relationships/hyperlink" Target="https://scholar.google.com/scholar?q=%22Towards%20Protecting%20Face%20Embeddings%20in%20Mobile%20Face%20Verification%20Scenarios%22" TargetMode="External"/><Relationship Id="rId286" Type="http://schemas.openxmlformats.org/officeDocument/2006/relationships/hyperlink" Target="https://doi.org/10.2478/popets-2022-0008" TargetMode="External"/><Relationship Id="rId287" Type="http://schemas.openxmlformats.org/officeDocument/2006/relationships/hyperlink" Target="https://scholar.google.com/scholar?q=%22Ulixes%3A%20Facial%20Recognition%20Privacy%20with%20Adversarial%20Machine%20Learning%22" TargetMode="External"/><Relationship Id="rId288" Type="http://schemas.openxmlformats.org/officeDocument/2006/relationships/hyperlink" Target="https://arxiv.org/abs/2102.00813" TargetMode="External"/><Relationship Id="rId289" Type="http://schemas.openxmlformats.org/officeDocument/2006/relationships/hyperlink" Target="https://scholar.google.com/scholar?q=%22About%20Face%3A%20A%20Survey%20of%20Facial%20Recognition%20Evaluation%22" TargetMode="External"/><Relationship Id="rId290" Type="http://schemas.openxmlformats.org/officeDocument/2006/relationships/hyperlink" Target="https://github.com/TencentYoutuResearch/Adv-Makeup" TargetMode="External"/><Relationship Id="rId291" Type="http://schemas.openxmlformats.org/officeDocument/2006/relationships/hyperlink" Target="https://arxiv.org/abs/2105.03162" TargetMode="External"/><Relationship Id="rId292" Type="http://schemas.openxmlformats.org/officeDocument/2006/relationships/hyperlink" Target="https://scholar.google.com/scholar?q=%22Adv-Makeup%3A%20A%20New%20Imperceptible%20and%20Transferable%20Attack%20on%20Face%20Recognition%22" TargetMode="External"/><Relationship Id="rId293" Type="http://schemas.openxmlformats.org/officeDocument/2006/relationships/hyperlink" Target="https://github.com/lhfowl/adversarial_poisons" TargetMode="External"/><Relationship Id="rId294" Type="http://schemas.openxmlformats.org/officeDocument/2006/relationships/hyperlink" Target="https://arxiv.org/abs/2106.10807" TargetMode="External"/><Relationship Id="rId295" Type="http://schemas.openxmlformats.org/officeDocument/2006/relationships/hyperlink" Target="https://scholar.google.com/scholar?q=%22Adversarial%20Examples%20Make%20Strong%20Poisons%22" TargetMode="External"/><Relationship Id="rId296" Type="http://schemas.openxmlformats.org/officeDocument/2006/relationships/hyperlink" Target="https://arxiv.org/abs/2103.07073" TargetMode="External"/><Relationship Id="rId297" Type="http://schemas.openxmlformats.org/officeDocument/2006/relationships/hyperlink" Target="https://scholar.google.com/scholar?q=%22DP-Image%3A%20Differential%20Privacy%20for%20Image%20Data%20in%20Feature%20Space%22" TargetMode="External"/><Relationship Id="rId298" Type="http://schemas.openxmlformats.org/officeDocument/2006/relationships/hyperlink" Target="https://exposing.ai/" TargetMode="External"/><Relationship Id="rId299" Type="http://schemas.openxmlformats.org/officeDocument/2006/relationships/hyperlink" Target="https://scholar.google.com/scholar?q=%22Exposing.ai%20%28MegaPixels%29%3A%20Face%20Datasets%20and%20Their%20Provenance%22" TargetMode="External"/><Relationship Id="rId300" Type="http://schemas.openxmlformats.org/officeDocument/2006/relationships/hyperlink" Target="https://github.com/wi-pi/face-off" TargetMode="External"/><Relationship Id="rId301" Type="http://schemas.openxmlformats.org/officeDocument/2006/relationships/hyperlink" Target="https://doi.org/10.2478/popets-2021-0032" TargetMode="External"/><Relationship Id="rId302" Type="http://schemas.openxmlformats.org/officeDocument/2006/relationships/hyperlink" Target="https://scholar.google.com/scholar?q=%22Face-Off%3A%20Adversarial%20Face%20Obfuscation%22" TargetMode="External"/><Relationship Id="rId303" Type="http://schemas.openxmlformats.org/officeDocument/2006/relationships/hyperlink" Target="https://arxiv.org/abs/2104.03008" TargetMode="External"/><Relationship Id="rId304" Type="http://schemas.openxmlformats.org/officeDocument/2006/relationships/hyperlink" Target="https://scholar.google.com/scholar?q=%22FedFace%3A%20Collaborative%20Learning%20of%20Face%20Recognition%20Model%22" TargetMode="External"/><Relationship Id="rId305" Type="http://schemas.openxmlformats.org/officeDocument/2006/relationships/hyperlink" Target="https://github.com/evtimovi/foggysight" TargetMode="External"/><Relationship Id="rId306" Type="http://schemas.openxmlformats.org/officeDocument/2006/relationships/hyperlink" Target="https://doi.org/10.2478/popets-2021-0044" TargetMode="External"/><Relationship Id="rId307" Type="http://schemas.openxmlformats.org/officeDocument/2006/relationships/hyperlink" Target="https://scholar.google.com/scholar?q=%22FoggySight%3A%20A%20Scheme%20for%20Facial%20Lookup%20Privacy%22" TargetMode="External"/><Relationship Id="rId308" Type="http://schemas.openxmlformats.org/officeDocument/2006/relationships/hyperlink" Target="https://doi.org/10.1145/3474085.3475367" TargetMode="External"/><Relationship Id="rId309" Type="http://schemas.openxmlformats.org/officeDocument/2006/relationships/hyperlink" Target="https://scholar.google.com/scholar?q=%22Identity-Preserving%20Face%20Anonymization%20via%20Adaptively%20Facial%20Attributes%20Obfuscation%22" TargetMode="External"/><Relationship Id="rId310" Type="http://schemas.openxmlformats.org/officeDocument/2006/relationships/hyperlink" Target="https://arxiv.org/abs/2106.15058" TargetMode="External"/><Relationship Id="rId311" Type="http://schemas.openxmlformats.org/officeDocument/2006/relationships/hyperlink" Target="https://scholar.google.com/scholar?q=%22Improving%20Transferability%20of%20Adversarial%20Patches%20on%20Face%20Recognition%20with%20Generative%20Models%22" TargetMode="External"/><Relationship Id="rId312" Type="http://schemas.openxmlformats.org/officeDocument/2006/relationships/hyperlink" Target="https://arxiv.org/abs/2104.02239" TargetMode="External"/><Relationship Id="rId313" Type="http://schemas.openxmlformats.org/officeDocument/2006/relationships/hyperlink" Target="https://scholar.google.com/scholar?q=%22IronMask%3A%20Modular%20Architecture%20for%20Protecting%20Deep%20Face%20Template%22" TargetMode="External"/><Relationship Id="rId314" Type="http://schemas.openxmlformats.org/officeDocument/2006/relationships/hyperlink" Target="https://arxiv.org/abs/2011.05315" TargetMode="External"/><Relationship Id="rId315" Type="http://schemas.openxmlformats.org/officeDocument/2006/relationships/hyperlink" Target="https://scholar.google.com/scholar?q=%22Is%20Private%20Learning%20Possible%20with%20Instance%20Encoding%3F%22" TargetMode="External"/><Relationship Id="rId316" Type="http://schemas.openxmlformats.org/officeDocument/2006/relationships/hyperlink" Target="https://arxiv.org/abs/2006.16923" TargetMode="External"/><Relationship Id="rId317" Type="http://schemas.openxmlformats.org/officeDocument/2006/relationships/hyperlink" Target="https://scholar.google.com/scholar?q=%22Large%20Image%20Datasets%3A%20A%20Pyrrhic%20Win%20for%20Computer%20Vision%3F%22" TargetMode="External"/><Relationship Id="rId318" Type="http://schemas.openxmlformats.org/officeDocument/2006/relationships/hyperlink" Target="https://github.com/carlosh93/privacy-optics-hpe" TargetMode="External"/><Relationship Id="rId319" Type="http://schemas.openxmlformats.org/officeDocument/2006/relationships/hyperlink" Target="https://openaccess.thecvf.com/content/ICCV2021/html/Hinojosa_Learning_Privacy-Preserving_Optics_for_Human_Pose_Estimation_ICCV_2021_paper.html" TargetMode="External"/><Relationship Id="rId320" Type="http://schemas.openxmlformats.org/officeDocument/2006/relationships/hyperlink" Target="https://scholar.google.com/scholar?q=%22Learning%20Privacy-Preserving%20Optics%20for%20Human%20Pose%20Estimation%22" TargetMode="External"/><Relationship Id="rId321" Type="http://schemas.openxmlformats.org/officeDocument/2006/relationships/hyperlink" Target="https://lowkey.umiacs.umd.edu/" TargetMode="External"/><Relationship Id="rId322" Type="http://schemas.openxmlformats.org/officeDocument/2006/relationships/hyperlink" Target="https://arxiv.org/abs/2101.07922" TargetMode="External"/><Relationship Id="rId323" Type="http://schemas.openxmlformats.org/officeDocument/2006/relationships/hyperlink" Target="https://scholar.google.com/scholar?q=%22LowKey%3A%20Leveraging%20Adversarial%20Attacks%20to%20Protect%20Social%20Media%20Users%20from%20Facial%20Recognition%22" TargetMode="External"/><Relationship Id="rId324" Type="http://schemas.openxmlformats.org/officeDocument/2006/relationships/hyperlink" Target="https://github.com/cleverhans-lab/machine-unlearning" TargetMode="External"/><Relationship Id="rId325" Type="http://schemas.openxmlformats.org/officeDocument/2006/relationships/hyperlink" Target="https://arxiv.org/abs/1912.03817" TargetMode="External"/><Relationship Id="rId326" Type="http://schemas.openxmlformats.org/officeDocument/2006/relationships/hyperlink" Target="https://scholar.google.com/scholar?q=%22Machine%20Unlearning%22" TargetMode="External"/><Relationship Id="rId327" Type="http://schemas.openxmlformats.org/officeDocument/2006/relationships/hyperlink" Target="https://doi.org/10.1007/s12083-021-01091-9" TargetMode="External"/><Relationship Id="rId328" Type="http://schemas.openxmlformats.org/officeDocument/2006/relationships/hyperlink" Target="https://scholar.google.com/scholar?q=%22Obfuscation%20of%20Images%20via%20Differential%20Privacy%3A%20From%20Facial%20Images%20to%20General%20Images%22" TargetMode="External"/><Relationship Id="rId329" Type="http://schemas.openxmlformats.org/officeDocument/2006/relationships/hyperlink" Target="https://doi.org/10.2478/popets-2021-0006" TargetMode="External"/><Relationship Id="rId330" Type="http://schemas.openxmlformats.org/officeDocument/2006/relationships/hyperlink" Target="https://scholar.google.com/scholar?q=%22On%20the%20%28Im%29Practicality%20of%20Adversarial%20Perturbation%20for%20Image%20Privacy%22" TargetMode="External"/><Relationship Id="rId331" Type="http://schemas.openxmlformats.org/officeDocument/2006/relationships/hyperlink" Target="https://arxiv.org/abs/2102.11502" TargetMode="External"/><Relationship Id="rId332" Type="http://schemas.openxmlformats.org/officeDocument/2006/relationships/hyperlink" Target="https://scholar.google.com/scholar?q=%22Oriole%3A%20Thwarting%20Privacy%20Against%20Trustworthy%20Deep%20Learning%20Models%22" TargetMode="External"/><Relationship Id="rId333" Type="http://schemas.openxmlformats.org/officeDocument/2006/relationships/hyperlink" Target="https://arxiv.org/abs/2108.03764" TargetMode="External"/><Relationship Id="rId334" Type="http://schemas.openxmlformats.org/officeDocument/2006/relationships/hyperlink" Target="https://scholar.google.com/scholar?q=%22PASS%3A%20Protected%20Attribute%20Suppression%20System%20for%20Mitigating%20Bias%20in%20Face%20Recognition%22" TargetMode="External"/><Relationship Id="rId335" Type="http://schemas.openxmlformats.org/officeDocument/2006/relationships/hyperlink" Target="https://openaccess.thecvf.com/content/ICCV2021/html/Cao_Personalized_and_Invertible_Face_De-Identification_by_Disentangled_Identity_Information_Manipulation_ICCV_2021_paper.html" TargetMode="External"/><Relationship Id="rId336" Type="http://schemas.openxmlformats.org/officeDocument/2006/relationships/hyperlink" Target="https://scholar.google.com/scholar?q=%22Personalized%20and%20Invertible%20Face%20De-identification%20by%20Disentangled%20Identity%20Information%20Manipulation%22" TargetMode="External"/><Relationship Id="rId337" Type="http://schemas.openxmlformats.org/officeDocument/2006/relationships/hyperlink" Target="https://doi.org/10.1109/TIFS.2021.3096024" TargetMode="External"/><Relationship Id="rId338" Type="http://schemas.openxmlformats.org/officeDocument/2006/relationships/hyperlink" Target="https://scholar.google.com/scholar?q=%22Privacy-Enhancing%20Face%20Biometrics%3A%20A%20Comprehensive%20Survey%22" TargetMode="External"/><Relationship Id="rId339" Type="http://schemas.openxmlformats.org/officeDocument/2006/relationships/hyperlink" Target="https://arxiv.org/abs/1902.00334" TargetMode="External"/><Relationship Id="rId340" Type="http://schemas.openxmlformats.org/officeDocument/2006/relationships/hyperlink" Target="https://scholar.google.com/scholar?q=%22SensitiveNets%3A%20Learning%20Agnostic%20Representations%20with%20Application%20to%20Face%20Images%22" TargetMode="External"/><Relationship Id="rId341" Type="http://schemas.openxmlformats.org/officeDocument/2006/relationships/hyperlink" Target="https://github.com/haibo-qiu/SynFace" TargetMode="External"/><Relationship Id="rId342" Type="http://schemas.openxmlformats.org/officeDocument/2006/relationships/hyperlink" Target="https://arxiv.org/abs/2108.07960" TargetMode="External"/><Relationship Id="rId343" Type="http://schemas.openxmlformats.org/officeDocument/2006/relationships/hyperlink" Target="https://scholar.google.com/scholar?q=%22SynFace%3A%20Face%20Recognition%20with%20Synthetic%20Data%22" TargetMode="External"/><Relationship Id="rId344" Type="http://schemas.openxmlformats.org/officeDocument/2006/relationships/hyperlink" Target="https://github.com/ShawnXYang/TIP-IM" TargetMode="External"/><Relationship Id="rId345" Type="http://schemas.openxmlformats.org/officeDocument/2006/relationships/hyperlink" Target="https://arxiv.org/abs/2003.06814" TargetMode="External"/><Relationship Id="rId346" Type="http://schemas.openxmlformats.org/officeDocument/2006/relationships/hyperlink" Target="https://scholar.google.com/scholar?q=%22Towards%20Face%20Encryption%20by%20Generating%20Adversarial%20Identity%20Masks%22" TargetMode="External"/><Relationship Id="rId347" Type="http://schemas.openxmlformats.org/officeDocument/2006/relationships/hyperlink" Target="https://arxiv.org/abs/2104.02821" TargetMode="External"/><Relationship Id="rId348" Type="http://schemas.openxmlformats.org/officeDocument/2006/relationships/hyperlink" Target="https://scholar.google.com/scholar?q=%22Towards%20Measuring%20Fairness%20in%20AI%3A%20The%20Casual%20Conversations%20Dataset%22" TargetMode="External"/><Relationship Id="rId349" Type="http://schemas.openxmlformats.org/officeDocument/2006/relationships/hyperlink" Target="https://github.com/HanxunH/Unlearnable-Examples" TargetMode="External"/><Relationship Id="rId350" Type="http://schemas.openxmlformats.org/officeDocument/2006/relationships/hyperlink" Target="https://arxiv.org/abs/2101.04898" TargetMode="External"/><Relationship Id="rId351" Type="http://schemas.openxmlformats.org/officeDocument/2006/relationships/hyperlink" Target="https://scholar.google.com/scholar?q=%22Unlearnable%20Examples%3A%20Making%20Personal%20Data%20Unexploitable%22" TargetMode="External"/><Relationship Id="rId352" Type="http://schemas.openxmlformats.org/officeDocument/2006/relationships/hyperlink" Target="https://arxiv.org/abs/1908.05008" TargetMode="External"/><Relationship Id="rId353" Type="http://schemas.openxmlformats.org/officeDocument/2006/relationships/hyperlink" Target="https://scholar.google.com/scholar?q=%22AdvFaces%3A%20Adversarial%20Face%20Synthesis%22" TargetMode="External"/><Relationship Id="rId354" Type="http://schemas.openxmlformats.org/officeDocument/2006/relationships/hyperlink" Target="https://github.com/papermsucode/advhat" TargetMode="External"/><Relationship Id="rId355" Type="http://schemas.openxmlformats.org/officeDocument/2006/relationships/hyperlink" Target="https://arxiv.org/abs/1908.08705" TargetMode="External"/><Relationship Id="rId356" Type="http://schemas.openxmlformats.org/officeDocument/2006/relationships/hyperlink" Target="https://scholar.google.com/scholar?q=%22AdvHat%3A%20Real-World%20Adversarial%20Attack%20on%20ArcFace%20Face%20ID%20System%22" TargetMode="External"/><Relationship Id="rId357" Type="http://schemas.openxmlformats.org/officeDocument/2006/relationships/hyperlink" Target="https://github.com/dvl-tum/ciagan" TargetMode="External"/><Relationship Id="rId358" Type="http://schemas.openxmlformats.org/officeDocument/2006/relationships/hyperlink" Target="https://arxiv.org/abs/2005.09544" TargetMode="External"/><Relationship Id="rId359" Type="http://schemas.openxmlformats.org/officeDocument/2006/relationships/hyperlink" Target="https://scholar.google.com/scholar?q=%22CIAGAN%3A%20Conditional%20Identity%20Anonymization%20Generative%20Adversarial%20Networks%22" TargetMode="External"/><Relationship Id="rId360" Type="http://schemas.openxmlformats.org/officeDocument/2006/relationships/hyperlink" Target="https://ieeexplore.ieee.org/document/9210976" TargetMode="External"/><Relationship Id="rId361" Type="http://schemas.openxmlformats.org/officeDocument/2006/relationships/hyperlink" Target="https://scholar.google.com/scholar?q=%22Efficiency%20Analysis%20of%20Post-Quantum-Secure%20Face%20Template%20Protection%20Schemes%20Based%20on%20Homomorphic%20Encryption%22" TargetMode="External"/><Relationship Id="rId362" Type="http://schemas.openxmlformats.org/officeDocument/2006/relationships/hyperlink" Target="https://github.com/AdityaGolatkar/SelectiveForgetting" TargetMode="External"/><Relationship Id="rId363" Type="http://schemas.openxmlformats.org/officeDocument/2006/relationships/hyperlink" Target="https://arxiv.org/abs/1911.04933" TargetMode="External"/><Relationship Id="rId364" Type="http://schemas.openxmlformats.org/officeDocument/2006/relationships/hyperlink" Target="https://scholar.google.com/scholar?q=%22Eternal%20Sunshine%20of%20the%20Spotless%20Net%3A%20Selective%20Forgetting%20in%20Deep%20Networks%22" TargetMode="External"/><Relationship Id="rId365" Type="http://schemas.openxmlformats.org/officeDocument/2006/relationships/hyperlink" Target="https://www.ajl.org/federal-office-call" TargetMode="External"/><Relationship Id="rId366" Type="http://schemas.openxmlformats.org/officeDocument/2006/relationships/hyperlink" Target="https://scholar.google.com/scholar?q=%22Facial%20Recognition%20Technologies%20in%20the%20Wild%3A%20A%20Call%20for%20a%20Federal%20Office%22" TargetMode="External"/><Relationship Id="rId367" Type="http://schemas.openxmlformats.org/officeDocument/2006/relationships/hyperlink" Target="https://github.com/Shawn-Shan/fawkes" TargetMode="External"/><Relationship Id="rId368" Type="http://schemas.openxmlformats.org/officeDocument/2006/relationships/hyperlink" Target="https://arxiv.org/abs/2002.08327" TargetMode="External"/><Relationship Id="rId369" Type="http://schemas.openxmlformats.org/officeDocument/2006/relationships/hyperlink" Target="https://scholar.google.com/scholar?q=%22Fawkes%3A%20Protecting%20Privacy%20against%20Unauthorized%20Deep%20Learning%20Models%22" TargetMode="External"/><Relationship Id="rId370" Type="http://schemas.openxmlformats.org/officeDocument/2006/relationships/hyperlink" Target="https://github.com/AdityaGolatkar/SelectiveForgetting" TargetMode="External"/><Relationship Id="rId371" Type="http://schemas.openxmlformats.org/officeDocument/2006/relationships/hyperlink" Target="https://arxiv.org/abs/2003.02960" TargetMode="External"/><Relationship Id="rId372" Type="http://schemas.openxmlformats.org/officeDocument/2006/relationships/hyperlink" Target="https://scholar.google.com/scholar?q=%22Forgetting%20Outside%20the%20Box%3A%20Scrubbing%20Deep%20Networks%20of%20Information%20Accessible%20from%20Input-Output%20Observations%22" TargetMode="External"/><Relationship Id="rId373" Type="http://schemas.openxmlformats.org/officeDocument/2006/relationships/hyperlink" Target="https://github.com/Hazelsuko07/InstaHide" TargetMode="External"/><Relationship Id="rId374" Type="http://schemas.openxmlformats.org/officeDocument/2006/relationships/hyperlink" Target="https://arxiv.org/abs/2010.02772" TargetMode="External"/><Relationship Id="rId375" Type="http://schemas.openxmlformats.org/officeDocument/2006/relationships/hyperlink" Target="https://scholar.google.com/scholar?q=%22InstaHide%3A%20Instance-hiding%20Schemes%20for%20Private%20Distributed%20Learning%22" TargetMode="External"/><Relationship Id="rId376" Type="http://schemas.openxmlformats.org/officeDocument/2006/relationships/hyperlink" Target="https://doi.org/10.1109/FG47880.2020.00007" TargetMode="External"/><Relationship Id="rId377" Type="http://schemas.openxmlformats.org/officeDocument/2006/relationships/hyperlink" Target="https://scholar.google.com/scholar?q=%22Learning%20Privacy-Enhancing%20Face%20Representations%20Through%20Feature%20Disentanglement%22" TargetMode="External"/><Relationship Id="rId378" Type="http://schemas.openxmlformats.org/officeDocument/2006/relationships/hyperlink" Target="https://doi.org/10.6028/NIST.IR.8331" TargetMode="External"/><Relationship Id="rId379" Type="http://schemas.openxmlformats.org/officeDocument/2006/relationships/hyperlink" Target="https://scholar.google.com/scholar?q=%22Ongoing%20Face%20Recognition%20Vendor%20Test%20Part%206B%3A%20Face%20Recognition%20Accuracy%20with%20Face%20Masks%20Using%20Post-COVID-19%20Algorithms%22" TargetMode="External"/><Relationship Id="rId380" Type="http://schemas.openxmlformats.org/officeDocument/2006/relationships/hyperlink" Target="https://doi.org/10.1109/ACCESS.2020.2994960" TargetMode="External"/><Relationship Id="rId381" Type="http://schemas.openxmlformats.org/officeDocument/2006/relationships/hyperlink" Target="https://scholar.google.com/scholar?q=%22PE-MIU%3A%20A%20Training-Free%20Privacy-Enhancing%20Face%20Recognition%20Approach%20Based%20on%20Minimum%20Information%20Units%22" TargetMode="External"/><Relationship Id="rId382" Type="http://schemas.openxmlformats.org/officeDocument/2006/relationships/hyperlink" Target="https://github.com/laoreja/face-identity-transformer" TargetMode="External"/><Relationship Id="rId383" Type="http://schemas.openxmlformats.org/officeDocument/2006/relationships/hyperlink" Target="https://arxiv.org/abs/1911.11759" TargetMode="External"/><Relationship Id="rId384" Type="http://schemas.openxmlformats.org/officeDocument/2006/relationships/hyperlink" Target="https://scholar.google.com/scholar?q=%22Password-Conditioned%20Anonymization%20and%20Deanonymization%20with%20Face%20Identity%20Transformers%22" TargetMode="External"/><Relationship Id="rId385" Type="http://schemas.openxmlformats.org/officeDocument/2006/relationships/hyperlink" Target="https://ieeexplore.ieee.org/document/9211021" TargetMode="External"/><Relationship Id="rId386" Type="http://schemas.openxmlformats.org/officeDocument/2006/relationships/hyperlink" Target="https://scholar.google.com/scholar?q=%22Privacy%20Evaluation%20Protocols%20for%20the%20Evaluation%20of%20Soft-Biometric%20Privacy-Enhancing%20Technologies%22" TargetMode="External"/><Relationship Id="rId387" Type="http://schemas.openxmlformats.org/officeDocument/2006/relationships/hyperlink" Target="https://doi.org/10.1016/j.cose.2020.101951" TargetMode="External"/><Relationship Id="rId388" Type="http://schemas.openxmlformats.org/officeDocument/2006/relationships/hyperlink" Target="https://scholar.google.com/scholar?q=%22Privacy%20Preserving%20Face%20Recognition%20Utilizing%20Differential%20Privacy%22" TargetMode="External"/><Relationship Id="rId389" Type="http://schemas.openxmlformats.org/officeDocument/2006/relationships/hyperlink" Target="https://arxiv.org/abs/2001.00561" TargetMode="External"/><Relationship Id="rId390" Type="http://schemas.openxmlformats.org/officeDocument/2006/relationships/hyperlink" Target="https://scholar.google.com/scholar?q=%22PrivacyNet%3A%20Semi-Adversarial%20Networks%20for%20Multi-Attribute%20Face%20Privacy%22" TargetMode="External"/><Relationship Id="rId391" Type="http://schemas.openxmlformats.org/officeDocument/2006/relationships/hyperlink" Target="https://www.nytimes.com/2020/01/18/technology/clearview-privacy-facial-recognition.html" TargetMode="External"/><Relationship Id="rId392" Type="http://schemas.openxmlformats.org/officeDocument/2006/relationships/hyperlink" Target="https://scholar.google.com/scholar?q=%22The%20Secretive%20Company%20That%20Might%20End%20Privacy%20as%20We%20Know%20It%22" TargetMode="External"/><Relationship Id="rId393" Type="http://schemas.openxmlformats.org/officeDocument/2006/relationships/hyperlink" Target="https://arxiv.org/abs/2002.09181" TargetMode="External"/><Relationship Id="rId394" Type="http://schemas.openxmlformats.org/officeDocument/2006/relationships/hyperlink" Target="https://scholar.google.com/scholar?q=%22Unsupervised%20Enhancement%20of%20Soft-Biometric%20Privacy%20with%20Negative%20Face%20Recognition%22" TargetMode="External"/><Relationship Id="rId395" Type="http://schemas.openxmlformats.org/officeDocument/2006/relationships/hyperlink" Target="https://arxiv.org/abs/2003.06958" TargetMode="External"/><Relationship Id="rId396" Type="http://schemas.openxmlformats.org/officeDocument/2006/relationships/hyperlink" Target="https://scholar.google.com/scholar?q=%22Vec2Face%3A%20Unveil%20Human%20Faces%20from%20their%20Blackbox%20Features%20in%20Face%20Recognition%22" TargetMode="External"/><Relationship Id="rId397" Type="http://schemas.openxmlformats.org/officeDocument/2006/relationships/hyperlink" Target="https://arxiv.org/abs/1801.00349" TargetMode="External"/><Relationship Id="rId398" Type="http://schemas.openxmlformats.org/officeDocument/2006/relationships/hyperlink" Target="https://scholar.google.com/scholar?q=%22A%20General%20Framework%20for%20Adversarial%20Examples%20with%20Objectives%22" TargetMode="External"/><Relationship Id="rId399" Type="http://schemas.openxmlformats.org/officeDocument/2006/relationships/hyperlink" Target="https://doi.org/10.1145/3306618.3314244" TargetMode="External"/><Relationship Id="rId400" Type="http://schemas.openxmlformats.org/officeDocument/2006/relationships/hyperlink" Target="https://scholar.google.com/scholar?q=%22Actionable%20Auditing%3A%20Investigating%20the%20Impact%20of%20Publicly%20Naming%20Biased%20Performance%20Results%20of%20Commercial%20AI%20Products%22" TargetMode="External"/><Relationship Id="rId401" Type="http://schemas.openxmlformats.org/officeDocument/2006/relationships/hyperlink" Target="https://arxiv.org/abs/1904.12620" TargetMode="External"/><Relationship Id="rId402" Type="http://schemas.openxmlformats.org/officeDocument/2006/relationships/hyperlink" Target="https://scholar.google.com/scholar?q=%22AnonymousNet%3A%20Natural%20Face%20De-Identification%20with%20Measurable%20Privacy%22" TargetMode="External"/><Relationship Id="rId403" Type="http://schemas.openxmlformats.org/officeDocument/2006/relationships/hyperlink" Target="https://github.com/hukkelas/DeepPrivacy" TargetMode="External"/><Relationship Id="rId404" Type="http://schemas.openxmlformats.org/officeDocument/2006/relationships/hyperlink" Target="https://arxiv.org/abs/1909.04538" TargetMode="External"/><Relationship Id="rId405" Type="http://schemas.openxmlformats.org/officeDocument/2006/relationships/hyperlink" Target="https://scholar.google.com/scholar?q=%22DeepPrivacy%3A%20A%20Generative%20Adversarial%20Network%20for%20Face%20Anonymization%22" TargetMode="External"/><Relationship Id="rId406" Type="http://schemas.openxmlformats.org/officeDocument/2006/relationships/hyperlink" Target="https://doi.org/10.1007/978-3-030-29726-8_15" TargetMode="External"/><Relationship Id="rId407" Type="http://schemas.openxmlformats.org/officeDocument/2006/relationships/hyperlink" Target="https://scholar.google.com/scholar?q=%22Differentially%20Private%20Obfuscation%20of%20Facial%20Images%22" TargetMode="External"/><Relationship Id="rId408" Type="http://schemas.openxmlformats.org/officeDocument/2006/relationships/hyperlink" Target="https://doi.org/10.6028/NIST.IR.8280" TargetMode="External"/><Relationship Id="rId409" Type="http://schemas.openxmlformats.org/officeDocument/2006/relationships/hyperlink" Target="https://scholar.google.com/scholar?q=%22Face%20Recognition%20Vendor%20Test%20Part%203%3A%20Demographic%20Effects%22" TargetMode="External"/><Relationship Id="rId410" Type="http://schemas.openxmlformats.org/officeDocument/2006/relationships/hyperlink" Target="https://doi.org/10.1109/ACCESS.2019.2924619" TargetMode="External"/><Relationship Id="rId411" Type="http://schemas.openxmlformats.org/officeDocument/2006/relationships/hyperlink" Target="https://scholar.google.com/scholar?q=%22FlowSAN%3A%20Privacy-Enhancing%20Semi-Adversarial%20Networks%20to%20Confound%20Arbitrary%20Face-Based%20Gender%20Classifiers%22" TargetMode="External"/><Relationship Id="rId412" Type="http://schemas.openxmlformats.org/officeDocument/2006/relationships/hyperlink" Target="https://arxiv.org/abs/1911.08348" TargetMode="External"/><Relationship Id="rId413" Type="http://schemas.openxmlformats.org/officeDocument/2006/relationships/hyperlink" Target="https://scholar.google.com/scholar?q=%22Live%20Face%20De-Identification%20in%20Video%22" TargetMode="External"/><Relationship Id="rId414" Type="http://schemas.openxmlformats.org/officeDocument/2006/relationships/hyperlink" Target="https://arxiv.org/abs/1703.00832" TargetMode="External"/><Relationship Id="rId415" Type="http://schemas.openxmlformats.org/officeDocument/2006/relationships/hyperlink" Target="https://scholar.google.com/scholar?q=%22On%20the%20Reconstruction%20of%20Face%20Images%20from%20Deep%20Face%20Templates%22" TargetMode="External"/><Relationship Id="rId416" Type="http://schemas.openxmlformats.org/officeDocument/2006/relationships/hyperlink" Target="https://openreview.net/forum?id=S1zk9iRqF7" TargetMode="External"/><Relationship Id="rId417" Type="http://schemas.openxmlformats.org/officeDocument/2006/relationships/hyperlink" Target="https://scholar.google.com/scholar?q=%22PATE-GAN%3A%20Generating%20Synthetic%20Data%20with%20Differential%20Privacy%20Guarantees%22" TargetMode="External"/><Relationship Id="rId418" Type="http://schemas.openxmlformats.org/officeDocument/2006/relationships/hyperlink" Target="https://doi.org/10.1109/ICME.2019.00140" TargetMode="External"/><Relationship Id="rId419" Type="http://schemas.openxmlformats.org/officeDocument/2006/relationships/hyperlink" Target="https://scholar.google.com/scholar?q=%22Practical%20Image%20Obfuscation%20with%20Provable%20Privacy%22" TargetMode="External"/><Relationship Id="rId420" Type="http://schemas.openxmlformats.org/officeDocument/2006/relationships/hyperlink" Target="https://doi.org/10.1109/ICB45695.2019.8987331" TargetMode="External"/><Relationship Id="rId421" Type="http://schemas.openxmlformats.org/officeDocument/2006/relationships/hyperlink" Target="https://scholar.google.com/scholar?q=%22Suppressing%20Gender%20and%20Age%20in%20Face%20Templates%20Using%20Incremental%20Variable%20Elimination%22" TargetMode="External"/><Relationship Id="rId422" Type="http://schemas.openxmlformats.org/officeDocument/2006/relationships/hyperlink" Target="https://arxiv.org/abs/1804.04779" TargetMode="External"/><Relationship Id="rId423" Type="http://schemas.openxmlformats.org/officeDocument/2006/relationships/hyperlink" Target="https://scholar.google.com/scholar?q=%22A%20Hybrid%20Model%20for%20Identity%20Obfuscation%20by%20Face%20Replacement%22" TargetMode="External"/><Relationship Id="rId424" Type="http://schemas.openxmlformats.org/officeDocument/2006/relationships/hyperlink" Target="https://arxiv.org/abs/1802.06739" TargetMode="External"/><Relationship Id="rId425" Type="http://schemas.openxmlformats.org/officeDocument/2006/relationships/hyperlink" Target="https://scholar.google.com/scholar?q=%22Differentially%20Private%20Generative%20Adversarial%20Network%22" TargetMode="External"/><Relationship Id="rId426" Type="http://schemas.openxmlformats.org/officeDocument/2006/relationships/hyperlink" Target="https://doi.org/10.1109/CVPRW.2018.00087" TargetMode="External"/><Relationship Id="rId427" Type="http://schemas.openxmlformats.org/officeDocument/2006/relationships/hyperlink" Target="https://scholar.google.com/scholar?q=%22Face%20Template%20Protection%20Using%20Deep%20Convolutional%20Neural%20Network%22" TargetMode="External"/><Relationship Id="rId428" Type="http://schemas.openxmlformats.org/officeDocument/2006/relationships/hyperlink" Target="https://proceedings.mlr.press/v81/buolamwini18a.html" TargetMode="External"/><Relationship Id="rId429" Type="http://schemas.openxmlformats.org/officeDocument/2006/relationships/hyperlink" Target="https://scholar.google.com/scholar?q=%22Gender%20Shades%3A%20Intersectional%20Accuracy%20Disparities%20in%20Commercial%20Gender%20Classification%22" TargetMode="External"/><Relationship Id="rId430" Type="http://schemas.openxmlformats.org/officeDocument/2006/relationships/hyperlink" Target="https://doi.org/10.1109/TIFS.2017.2788000" TargetMode="External"/><Relationship Id="rId431" Type="http://schemas.openxmlformats.org/officeDocument/2006/relationships/hyperlink" Target="https://scholar.google.com/scholar?q=%22General%20Framework%20to%20Evaluate%20Unlinkability%20in%20Biometric%20Template%20Protection%20Systems%22" TargetMode="External"/><Relationship Id="rId432" Type="http://schemas.openxmlformats.org/officeDocument/2006/relationships/hyperlink" Target="https://doi.org/10.1007/978-3-319-95729-6_10" TargetMode="External"/><Relationship Id="rId433" Type="http://schemas.openxmlformats.org/officeDocument/2006/relationships/hyperlink" Target="https://scholar.google.com/scholar?q=%22Image%20Pixelization%20with%20Differential%20Privacy%22" TargetMode="External"/><Relationship Id="rId434" Type="http://schemas.openxmlformats.org/officeDocument/2006/relationships/hyperlink" Target="https://arxiv.org/abs/1803.04683" TargetMode="External"/><Relationship Id="rId435" Type="http://schemas.openxmlformats.org/officeDocument/2006/relationships/hyperlink" Target="https://scholar.google.com/scholar?q=%22Invisible%20Mask%3A%20Practical%20Attacks%20on%20Face%20Recognition%20with%20Infrared%22" TargetMode="External"/><Relationship Id="rId436" Type="http://schemas.openxmlformats.org/officeDocument/2006/relationships/hyperlink" Target="https://arxiv.org/abs/1803.11556" TargetMode="External"/><Relationship Id="rId437" Type="http://schemas.openxmlformats.org/officeDocument/2006/relationships/hyperlink" Target="https://scholar.google.com/scholar?q=%22Learning%20to%20Anonymize%20Faces%20for%20Privacy%20Preserving%20Action%20Detection%22" TargetMode="External"/><Relationship Id="rId438" Type="http://schemas.openxmlformats.org/officeDocument/2006/relationships/hyperlink" Target="https://arxiv.org/abs/1711.09001" TargetMode="External"/><Relationship Id="rId439" Type="http://schemas.openxmlformats.org/officeDocument/2006/relationships/hyperlink" Target="https://scholar.google.com/scholar?q=%22Natural%20and%20Effective%20Obfuscation%20by%20Head%20Inpainting%22" TargetMode="External"/><Relationship Id="rId440" Type="http://schemas.openxmlformats.org/officeDocument/2006/relationships/hyperlink" Target="https://github.com/human-analysis/secure-face-matching" TargetMode="External"/><Relationship Id="rId441" Type="http://schemas.openxmlformats.org/officeDocument/2006/relationships/hyperlink" Target="https://arxiv.org/abs/1805.00577" TargetMode="External"/><Relationship Id="rId442" Type="http://schemas.openxmlformats.org/officeDocument/2006/relationships/hyperlink" Target="https://scholar.google.com/scholar?q=%22Secure%20Face%20Matching%20Using%20Fully%20Homomorphic%20Encryption%22" TargetMode="External"/><Relationship Id="rId443" Type="http://schemas.openxmlformats.org/officeDocument/2006/relationships/hyperlink" Target="https://arxiv.org/abs/1712.00321" TargetMode="External"/><Relationship Id="rId444" Type="http://schemas.openxmlformats.org/officeDocument/2006/relationships/hyperlink" Target="https://scholar.google.com/scholar?q=%22Semi-Adversarial%20Networks%3A%20Convolutional%20Autoencoders%20for%20Imparting%20Privacy%20to%20Face%20Images%22" TargetMode="External"/><Relationship Id="rId445" Type="http://schemas.openxmlformats.org/officeDocument/2006/relationships/hyperlink" Target="https://arxiv.org/abs/1807.08379" TargetMode="External"/><Relationship Id="rId446" Type="http://schemas.openxmlformats.org/officeDocument/2006/relationships/hyperlink" Target="https://scholar.google.com/scholar?q=%22Towards%20Privacy-Preserving%20Visual%20Recognition%20via%20Adversarial%20Training%3A%20A%20Pilot%20Study%22" TargetMode="External"/><Relationship Id="rId447" Type="http://schemas.openxmlformats.org/officeDocument/2006/relationships/hyperlink" Target="https://doi.org/10.3390/e20010060" TargetMode="External"/><Relationship Id="rId448" Type="http://schemas.openxmlformats.org/officeDocument/2006/relationships/hyperlink" Target="https://scholar.google.com/scholar?q=%22k-Same-Net%3A%20k-Anonymity%20with%20Generative%20Deep%20Neural%20Networks%20for%20Face%20Deidentification%22" TargetMode="External"/><Relationship Id="rId449" Type="http://schemas.openxmlformats.org/officeDocument/2006/relationships/hyperlink" Target="https://arxiv.org/abs/1703.09471" TargetMode="External"/><Relationship Id="rId450" Type="http://schemas.openxmlformats.org/officeDocument/2006/relationships/hyperlink" Target="https://scholar.google.com/scholar?q=%22Adversarial%20Image%20Perturbation%20for%20Privacy%20Protection%3A%20A%20Game%20Theory%20Perspective%22" TargetMode="External"/><Relationship Id="rId451" Type="http://schemas.openxmlformats.org/officeDocument/2006/relationships/hyperlink" Target="https://doi.org/10.1109/CVPRW.2017.173" TargetMode="External"/><Relationship Id="rId452" Type="http://schemas.openxmlformats.org/officeDocument/2006/relationships/hyperlink" Target="https://scholar.google.com/scholar?q=%22I%20Know%20That%20Person%3A%20Generative%20Full%20Body%20and%20Face%20De-identification%20of%20People%20in%20Images%22" TargetMode="External"/><Relationship Id="rId453" Type="http://schemas.openxmlformats.org/officeDocument/2006/relationships/hyperlink" Target="https://arxiv.org/abs/1610.05820" TargetMode="External"/><Relationship Id="rId454" Type="http://schemas.openxmlformats.org/officeDocument/2006/relationships/hyperlink" Target="https://scholar.google.com/scholar?q=%22Membership%20Inference%20Attacks%20Against%20Machine%20Learning%20Models%22" TargetMode="External"/><Relationship Id="rId455" Type="http://schemas.openxmlformats.org/officeDocument/2006/relationships/hyperlink" Target="https://ojs.aaai.org/index.php/AAAI/article/view/11233" TargetMode="External"/><Relationship Id="rId456" Type="http://schemas.openxmlformats.org/officeDocument/2006/relationships/hyperlink" Target="https://scholar.google.com/scholar?q=%22Privacy-Preserving%20Human%20Activity%20Recognition%20from%20Extreme%20Low%20Resolution%22" TargetMode="External"/><Relationship Id="rId457" Type="http://schemas.openxmlformats.org/officeDocument/2006/relationships/hyperlink" Target="https://doi.org/10.1109/BTAS.2017.8272743" TargetMode="External"/><Relationship Id="rId458" Type="http://schemas.openxmlformats.org/officeDocument/2006/relationships/hyperlink" Target="https://scholar.google.com/scholar?q=%22Soft%20Biometric%20Privacy%3A%20Retaining%20Biometric%20Utility%20of%20Face%20Images%20While%20Perturbing%20Gender%22" TargetMode="External"/><Relationship Id="rId459" Type="http://schemas.openxmlformats.org/officeDocument/2006/relationships/hyperlink" Target="https://doi.org/10.1145/2976749.2978392" TargetMode="External"/><Relationship Id="rId460" Type="http://schemas.openxmlformats.org/officeDocument/2006/relationships/hyperlink" Target="https://scholar.google.com/scholar?q=%22Accessorize%20to%20a%20Crime%3A%20Real%20and%20Stealthy%20Attacks%20on%20State-of-the-Art%20Face%20Recognition%22" TargetMode="External"/><Relationship Id="rId461" Type="http://schemas.openxmlformats.org/officeDocument/2006/relationships/hyperlink" Target="https://doi.org/10.1016/j.image.2016.05.020" TargetMode="External"/><Relationship Id="rId462" Type="http://schemas.openxmlformats.org/officeDocument/2006/relationships/hyperlink" Target="https://scholar.google.com/scholar?q=%22De-identification%20for%20Privacy%20Protection%20in%20Multimedia%20Content%3A%20A%20Survey%22" TargetMode="External"/><Relationship Id="rId463" Type="http://schemas.openxmlformats.org/officeDocument/2006/relationships/hyperlink" Target="https://github.com/tensorflow/privacy" TargetMode="External"/><Relationship Id="rId464" Type="http://schemas.openxmlformats.org/officeDocument/2006/relationships/hyperlink" Target="https://arxiv.org/abs/1607.00133" TargetMode="External"/><Relationship Id="rId465" Type="http://schemas.openxmlformats.org/officeDocument/2006/relationships/hyperlink" Target="https://scholar.google.com/scholar?q=%22Deep%20Learning%20with%20Differential%20Privacy%22" TargetMode="External"/><Relationship Id="rId466" Type="http://schemas.openxmlformats.org/officeDocument/2006/relationships/hyperlink" Target="https://doi.org/10.1109/CVPRW.2016.17" TargetMode="External"/><Relationship Id="rId467" Type="http://schemas.openxmlformats.org/officeDocument/2006/relationships/hyperlink" Target="https://scholar.google.com/scholar?q=%22Deep%20Secure%20Encoding%20for%20Face%20Template%20Protection%22" TargetMode="External"/><Relationship Id="rId468" Type="http://schemas.openxmlformats.org/officeDocument/2006/relationships/hyperlink" Target="https://arxiv.org/abs/1609.00408" TargetMode="External"/><Relationship Id="rId469" Type="http://schemas.openxmlformats.org/officeDocument/2006/relationships/hyperlink" Target="https://scholar.google.com/scholar?q=%22Defeating%20Image%20Obfuscation%20with%20Deep%20Learning%22" TargetMode="External"/><Relationship Id="rId470" Type="http://schemas.openxmlformats.org/officeDocument/2006/relationships/hyperlink" Target="https://arxiv.org/abs/1607.08438" TargetMode="External"/><Relationship Id="rId471" Type="http://schemas.openxmlformats.org/officeDocument/2006/relationships/hyperlink" Target="https://scholar.google.com/scholar?q=%22Faceless%20Person%20Recognition%3A%20Privacy%20Implications%20in%20Social%20Media%22" TargetMode="External"/><Relationship Id="rId472" Type="http://schemas.openxmlformats.org/officeDocument/2006/relationships/hyperlink" Target="https://arxiv.org/abs/1606.04189" TargetMode="External"/><Relationship Id="rId473" Type="http://schemas.openxmlformats.org/officeDocument/2006/relationships/hyperlink" Target="https://scholar.google.com/scholar?q=%22Inverting%20Face%20Embeddings%20with%20Convolutional%20Neural%20Networks%22" TargetMode="External"/><Relationship Id="rId474" Type="http://schemas.openxmlformats.org/officeDocument/2006/relationships/hyperlink" Target="https://arxiv.org/abs/1607.08221" TargetMode="External"/><Relationship Id="rId475" Type="http://schemas.openxmlformats.org/officeDocument/2006/relationships/hyperlink" Target="https://scholar.google.com/scholar?q=%22MS-Celeb-1M%3A%20A%20Dataset%20and%20Benchmark%20for%20Large-Scale%20Face%20Recognition%22" TargetMode="External"/><Relationship Id="rId476" Type="http://schemas.openxmlformats.org/officeDocument/2006/relationships/hyperlink" Target="https://www.perpetuallineup.org/" TargetMode="External"/><Relationship Id="rId477" Type="http://schemas.openxmlformats.org/officeDocument/2006/relationships/hyperlink" Target="https://scholar.google.com/scholar?q=%22The%20Perpetual%20Line-Up%3A%20Unregulated%20Police%20Face%20Recognition%20in%20America%22" TargetMode="External"/><Relationship Id="rId478" Type="http://schemas.openxmlformats.org/officeDocument/2006/relationships/hyperlink" Target="https://doi.org/10.1109/MSP.2015.2427849" TargetMode="External"/><Relationship Id="rId479" Type="http://schemas.openxmlformats.org/officeDocument/2006/relationships/hyperlink" Target="https://scholar.google.com/scholar?q=%22Biometric%20Template%20Protection%3A%20Bridging%20the%20Performance%20Gap%20Between%20Theory%20and%20Practice%22" TargetMode="External"/><Relationship Id="rId480" Type="http://schemas.openxmlformats.org/officeDocument/2006/relationships/hyperlink" Target="https://doi.org/10.1145/2810103.2813603" TargetMode="External"/><Relationship Id="rId481" Type="http://schemas.openxmlformats.org/officeDocument/2006/relationships/hyperlink" Target="https://scholar.google.com/scholar?q=%22Face/Off%3A%20Preventing%20Privacy%20Leakage%20From%20Photos%20in%20Social%20Networks%22" TargetMode="External"/><Relationship Id="rId482" Type="http://schemas.openxmlformats.org/officeDocument/2006/relationships/hyperlink" Target="https://doi.org/10.1109/CVPR.2015.7298658" TargetMode="External"/><Relationship Id="rId483" Type="http://schemas.openxmlformats.org/officeDocument/2006/relationships/hyperlink" Target="https://scholar.google.com/scholar?q=%22Privacy%20Preserving%20Optics%20for%20Miniature%20Vision%20Sensors%22" TargetMode="External"/><Relationship Id="rId484" Type="http://schemas.openxmlformats.org/officeDocument/2006/relationships/hyperlink" Target="https://www.reflectacles.com/" TargetMode="External"/><Relationship Id="rId485" Type="http://schemas.openxmlformats.org/officeDocument/2006/relationships/hyperlink" Target="https://scholar.google.com/scholar?q=%22Reflectacles%3A%20IR-blocking%20and%20reflective%20privacy%20eyewear%22" TargetMode="External"/><Relationship Id="rId486" Type="http://schemas.openxmlformats.org/officeDocument/2006/relationships/hyperlink" Target="https://doi.org/10.1109/SP.2015.35" TargetMode="External"/><Relationship Id="rId487" Type="http://schemas.openxmlformats.org/officeDocument/2006/relationships/hyperlink" Target="https://scholar.google.com/scholar?q=%22Towards%20Making%20Systems%20Forget%20with%20Machine%20Unlearning%22" TargetMode="External"/><Relationship Id="rId488" Type="http://schemas.openxmlformats.org/officeDocument/2006/relationships/hyperlink" Target="https://doi.org/10.1016/j.eswa.2015.01.041" TargetMode="External"/><Relationship Id="rId489" Type="http://schemas.openxmlformats.org/officeDocument/2006/relationships/hyperlink" Target="https://scholar.google.com/scholar?q=%22Visual%20Privacy%20Protection%20Methods%3A%20A%20Survey%22" TargetMode="External"/><Relationship Id="rId490" Type="http://schemas.openxmlformats.org/officeDocument/2006/relationships/hyperlink" Target="https://doi.org/10.1109/ICDSP.2013.6622791" TargetMode="External"/><Relationship Id="rId491" Type="http://schemas.openxmlformats.org/officeDocument/2006/relationships/hyperlink" Target="https://scholar.google.com/scholar?q=%22Using%20Warping%20for%20Privacy%20Protection%20in%20Video%20Surveillance%22" TargetMode="External"/><Relationship Id="rId492" Type="http://schemas.openxmlformats.org/officeDocument/2006/relationships/hyperlink" Target="https://cvdazzle.com/" TargetMode="External"/><Relationship Id="rId493" Type="http://schemas.openxmlformats.org/officeDocument/2006/relationships/hyperlink" Target="https://scholar.google.com/scholar?q=%22CV%20Dazzle%3A%20Camouflage%20from%20Face%20Detection%22" TargetMode="External"/><Relationship Id="rId494" Type="http://schemas.openxmlformats.org/officeDocument/2006/relationships/hyperlink" Target="https://doi.org/10.1109/SP.2010.39" TargetMode="External"/><Relationship Id="rId495" Type="http://schemas.openxmlformats.org/officeDocument/2006/relationships/hyperlink" Target="https://scholar.google.com/scholar?q=%22SCiFI%3A%20A%20System%20for%20Secure%20Face%20Identification%22" TargetMode="External"/><Relationship Id="rId496" Type="http://schemas.openxmlformats.org/officeDocument/2006/relationships/hyperlink" Target="https://doi.org/10.1007/978-3-642-14423-3_16" TargetMode="External"/><Relationship Id="rId497" Type="http://schemas.openxmlformats.org/officeDocument/2006/relationships/hyperlink" Target="https://scholar.google.com/scholar?q=%22Efficient%20Privacy-Preserving%20Face%20Recognition%22" TargetMode="External"/><Relationship Id="rId498" Type="http://schemas.openxmlformats.org/officeDocument/2006/relationships/hyperlink" Target="https://doi.org/10.1007/978-1-84882-301-3_8" TargetMode="External"/><Relationship Id="rId499" Type="http://schemas.openxmlformats.org/officeDocument/2006/relationships/hyperlink" Target="https://scholar.google.com/scholar?q=%22Face%20De-Identification%22" TargetMode="External"/><Relationship Id="rId500" Type="http://schemas.openxmlformats.org/officeDocument/2006/relationships/hyperlink" Target="https://doi.org/10.1109/ICCV.2009.5459413" TargetMode="External"/><Relationship Id="rId501" Type="http://schemas.openxmlformats.org/officeDocument/2006/relationships/hyperlink" Target="https://scholar.google.com/scholar?q=%22Large-Scale%20Privacy%20Protection%20in%20Google%20Street%20View%22" TargetMode="External"/><Relationship Id="rId502" Type="http://schemas.openxmlformats.org/officeDocument/2006/relationships/hyperlink" Target="https://doi.org/10.1007/978-3-642-03168-7_14" TargetMode="External"/><Relationship Id="rId503" Type="http://schemas.openxmlformats.org/officeDocument/2006/relationships/hyperlink" Target="https://scholar.google.com/scholar?q=%22Privacy-Preserving%20Face%20Recognition%22" TargetMode="External"/><Relationship Id="rId504" Type="http://schemas.openxmlformats.org/officeDocument/2006/relationships/hyperlink" Target="https://doi.org/10.1145/1360612.1360638" TargetMode="External"/><Relationship Id="rId505" Type="http://schemas.openxmlformats.org/officeDocument/2006/relationships/hyperlink" Target="https://scholar.google.com/scholar?q=%22Face%20Swapping%3A%20Automatically%20Replacing%20Faces%20in%20Photographs%22" TargetMode="External"/><Relationship Id="rId506" Type="http://schemas.openxmlformats.org/officeDocument/2006/relationships/hyperlink" Target="https://doi.org/10.1109/TCSVT.2008.928225" TargetMode="External"/><Relationship Id="rId507" Type="http://schemas.openxmlformats.org/officeDocument/2006/relationships/hyperlink" Target="https://scholar.google.com/scholar?q=%22Scrambling%20for%20Privacy%20Protection%20in%20Video%20Surveillance%20Systems%22" TargetMode="External"/><Relationship Id="rId508" Type="http://schemas.openxmlformats.org/officeDocument/2006/relationships/hyperlink" Target="https://doi.org/10.1145/1143518.1143519" TargetMode="External"/><Relationship Id="rId509" Type="http://schemas.openxmlformats.org/officeDocument/2006/relationships/hyperlink" Target="https://scholar.google.com/scholar?q=%22Blur%20Filtration%20Fails%20to%20Preserve%20Privacy%20for%20Home-Based%20Video%20Conferencing%22" TargetMode="External"/><Relationship Id="rId510" Type="http://schemas.openxmlformats.org/officeDocument/2006/relationships/hyperlink" Target="https://doi.org/10.1007/11681878_14" TargetMode="External"/><Relationship Id="rId511" Type="http://schemas.openxmlformats.org/officeDocument/2006/relationships/hyperlink" Target="https://scholar.google.com/scholar?q=%22Calibrating%20Noise%20to%20Sensitivity%20in%20Private%20Data%20Analysis%22" TargetMode="External"/><Relationship Id="rId512" Type="http://schemas.openxmlformats.org/officeDocument/2006/relationships/hyperlink" Target="https://doi.org/10.1109/CVPRW.2006.125" TargetMode="External"/><Relationship Id="rId513" Type="http://schemas.openxmlformats.org/officeDocument/2006/relationships/hyperlink" Target="https://scholar.google.com/scholar?q=%22Model-Based%20Face%20De-Identification%22" TargetMode="External"/><Relationship Id="rId514" Type="http://schemas.openxmlformats.org/officeDocument/2006/relationships/hyperlink" Target="https://doi.org/10.1007/11767831_15" TargetMode="External"/><Relationship Id="rId515" Type="http://schemas.openxmlformats.org/officeDocument/2006/relationships/hyperlink" Target="https://scholar.google.com/scholar?q=%22Integrating%20Utility%20into%20Face%20De-identification%22" TargetMode="External"/><Relationship Id="rId516" Type="http://schemas.openxmlformats.org/officeDocument/2006/relationships/hyperlink" Target="https://doi.org/10.1109/TKDE.2005.32" TargetMode="External"/><Relationship Id="rId517" Type="http://schemas.openxmlformats.org/officeDocument/2006/relationships/hyperlink" Target="https://scholar.google.com/scholar?q=%22Preserving%20Privacy%20by%20De-identifying%20Face%20Images%22" TargetMode="External"/><Relationship Id="rId518" Type="http://schemas.openxmlformats.org/officeDocument/2006/relationships/hyperlink" Target="https://doi.org/10.1016/j.patcog.2004.04.011" TargetMode="External"/><Relationship Id="rId519" Type="http://schemas.openxmlformats.org/officeDocument/2006/relationships/hyperlink" Target="https://scholar.google.com/scholar?q=%22BioHashing%3A%20Two%20Factor%20Authentication%20Featuring%20Fingerprint%20Data%20and%20Tokenised%20Random%20Number%22" TargetMode="External"/><Relationship Id="rId520" Type="http://schemas.openxmlformats.org/officeDocument/2006/relationships/hyperlink" Target="https://doi.org/10.1109/ISIT.2002.1023680" TargetMode="External"/><Relationship Id="rId521" Type="http://schemas.openxmlformats.org/officeDocument/2006/relationships/hyperlink" Target="https://scholar.google.com/scholar?q=%22A%20Fuzzy%20Vault%20Scheme%22" TargetMode="External"/><Relationship Id="rId522" Type="http://schemas.openxmlformats.org/officeDocument/2006/relationships/hyperlink" Target="https://doi.org/10.1147/sj.403.0614" TargetMode="External"/><Relationship Id="rId523" Type="http://schemas.openxmlformats.org/officeDocument/2006/relationships/hyperlink" Target="https://scholar.google.com/scholar?q=%22Enhancing%20Security%20and%20Privacy%20in%20Biometrics-Based%20Authentication%20Systems%22" TargetMode="External"/><Relationship Id="rId524" Type="http://schemas.openxmlformats.org/officeDocument/2006/relationships/hyperlink" Target="https://doi.org/10.1145/358916.358935" TargetMode="External"/><Relationship Id="rId525" Type="http://schemas.openxmlformats.org/officeDocument/2006/relationships/hyperlink" Target="https://scholar.google.com/scholar?q=%22The%20Effects%20of%20Filtered%20Video%20on%20Awareness%20and%20Privacy%22" TargetMode="External"/><Relationship Id="rId526" Type="http://schemas.openxmlformats.org/officeDocument/2006/relationships/hyperlink" Target="https://doi.org/10.1145/319709.319714" TargetMode="External"/><Relationship Id="rId527" Type="http://schemas.openxmlformats.org/officeDocument/2006/relationships/hyperlink" Target="https://scholar.google.com/scholar?q=%22A%20Fuzzy%20Commitment%20Scheme%22" TargetMode="External"/><Relationship Id="rId528"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arxiv.org/abs/1703.09471" TargetMode="External"/><Relationship Id="rId2" Type="http://schemas.openxmlformats.org/officeDocument/2006/relationships/hyperlink" Target="https://scholar.google.com/scholar?q=%22Adversarial%20Image%20Perturbation%20for%20Privacy%20Protection%3A%20A%20Game%20Theory%20Perspective%22" TargetMode="External"/><Relationship Id="rId3" Type="http://schemas.openxmlformats.org/officeDocument/2006/relationships/hyperlink" Target="https://doi.org/10.1109/CVPRW.2017.173" TargetMode="External"/><Relationship Id="rId4" Type="http://schemas.openxmlformats.org/officeDocument/2006/relationships/hyperlink" Target="https://scholar.google.com/scholar?q=%22I%20Know%20That%20Person%3A%20Generative%20Full%20Body%20and%20Face%20De-identification%20of%20People%20in%20Images%22" TargetMode="External"/><Relationship Id="rId5" Type="http://schemas.openxmlformats.org/officeDocument/2006/relationships/hyperlink" Target="https://arxiv.org/abs/1610.05820" TargetMode="External"/><Relationship Id="rId6" Type="http://schemas.openxmlformats.org/officeDocument/2006/relationships/hyperlink" Target="https://scholar.google.com/scholar?q=%22Membership%20Inference%20Attacks%20Against%20Machine%20Learning%20Models%22" TargetMode="External"/><Relationship Id="rId7" Type="http://schemas.openxmlformats.org/officeDocument/2006/relationships/hyperlink" Target="https://ojs.aaai.org/index.php/AAAI/article/view/11233" TargetMode="External"/><Relationship Id="rId8" Type="http://schemas.openxmlformats.org/officeDocument/2006/relationships/hyperlink" Target="https://scholar.google.com/scholar?q=%22Privacy-Preserving%20Human%20Activity%20Recognition%20from%20Extreme%20Low%20Resolution%22" TargetMode="External"/><Relationship Id="rId9" Type="http://schemas.openxmlformats.org/officeDocument/2006/relationships/hyperlink" Target="https://doi.org/10.1109/BTAS.2017.8272743" TargetMode="External"/><Relationship Id="rId10" Type="http://schemas.openxmlformats.org/officeDocument/2006/relationships/hyperlink" Target="https://scholar.google.com/scholar?q=%22Soft%20Biometric%20Privacy%3A%20Retaining%20Biometric%20Utility%20of%20Face%20Images%20While%20Perturbing%20Gender%22" TargetMode="External"/><Relationship Id="rId11" Type="http://schemas.openxmlformats.org/officeDocument/2006/relationships/hyperlink" Target="https://doi.org/10.1145/2976749.2978392" TargetMode="External"/><Relationship Id="rId12" Type="http://schemas.openxmlformats.org/officeDocument/2006/relationships/hyperlink" Target="https://scholar.google.com/scholar?q=%22Accessorize%20to%20a%20Crime%3A%20Real%20and%20Stealthy%20Attacks%20on%20State-of-the-Art%20Face%20Recognition%22" TargetMode="External"/><Relationship Id="rId13" Type="http://schemas.openxmlformats.org/officeDocument/2006/relationships/hyperlink" Target="https://doi.org/10.1016/j.image.2016.05.020" TargetMode="External"/><Relationship Id="rId14" Type="http://schemas.openxmlformats.org/officeDocument/2006/relationships/hyperlink" Target="https://scholar.google.com/scholar?q=%22De-identification%20for%20Privacy%20Protection%20in%20Multimedia%20Content%3A%20A%20Survey%22" TargetMode="External"/><Relationship Id="rId15" Type="http://schemas.openxmlformats.org/officeDocument/2006/relationships/hyperlink" Target="https://github.com/tensorflow/privacy" TargetMode="External"/><Relationship Id="rId16" Type="http://schemas.openxmlformats.org/officeDocument/2006/relationships/hyperlink" Target="https://arxiv.org/abs/1607.00133" TargetMode="External"/><Relationship Id="rId17" Type="http://schemas.openxmlformats.org/officeDocument/2006/relationships/hyperlink" Target="https://scholar.google.com/scholar?q=%22Deep%20Learning%20with%20Differential%20Privacy%22" TargetMode="External"/><Relationship Id="rId18" Type="http://schemas.openxmlformats.org/officeDocument/2006/relationships/hyperlink" Target="https://doi.org/10.1109/CVPRW.2016.17" TargetMode="External"/><Relationship Id="rId19" Type="http://schemas.openxmlformats.org/officeDocument/2006/relationships/hyperlink" Target="https://scholar.google.com/scholar?q=%22Deep%20Secure%20Encoding%20for%20Face%20Template%20Protection%22" TargetMode="External"/><Relationship Id="rId20" Type="http://schemas.openxmlformats.org/officeDocument/2006/relationships/hyperlink" Target="https://arxiv.org/abs/1609.00408" TargetMode="External"/><Relationship Id="rId21" Type="http://schemas.openxmlformats.org/officeDocument/2006/relationships/hyperlink" Target="https://scholar.google.com/scholar?q=%22Defeating%20Image%20Obfuscation%20with%20Deep%20Learning%22" TargetMode="External"/><Relationship Id="rId22" Type="http://schemas.openxmlformats.org/officeDocument/2006/relationships/hyperlink" Target="https://arxiv.org/abs/1607.08438" TargetMode="External"/><Relationship Id="rId23" Type="http://schemas.openxmlformats.org/officeDocument/2006/relationships/hyperlink" Target="https://scholar.google.com/scholar?q=%22Faceless%20Person%20Recognition%3A%20Privacy%20Implications%20in%20Social%20Media%22" TargetMode="External"/><Relationship Id="rId24" Type="http://schemas.openxmlformats.org/officeDocument/2006/relationships/hyperlink" Target="https://arxiv.org/abs/1606.04189" TargetMode="External"/><Relationship Id="rId25" Type="http://schemas.openxmlformats.org/officeDocument/2006/relationships/hyperlink" Target="https://scholar.google.com/scholar?q=%22Inverting%20Face%20Embeddings%20with%20Convolutional%20Neural%20Networks%22" TargetMode="External"/><Relationship Id="rId26" Type="http://schemas.openxmlformats.org/officeDocument/2006/relationships/hyperlink" Target="https://arxiv.org/abs/1607.08221" TargetMode="External"/><Relationship Id="rId27" Type="http://schemas.openxmlformats.org/officeDocument/2006/relationships/hyperlink" Target="https://scholar.google.com/scholar?q=%22MS-Celeb-1M%3A%20A%20Dataset%20and%20Benchmark%20for%20Large-Scale%20Face%20Recognition%22" TargetMode="External"/><Relationship Id="rId28" Type="http://schemas.openxmlformats.org/officeDocument/2006/relationships/hyperlink" Target="https://www.perpetuallineup.org/" TargetMode="External"/><Relationship Id="rId29" Type="http://schemas.openxmlformats.org/officeDocument/2006/relationships/hyperlink" Target="https://scholar.google.com/scholar?q=%22The%20Perpetual%20Line-Up%3A%20Unregulated%20Police%20Face%20Recognition%20in%20America%22" TargetMode="External"/><Relationship Id="rId30" Type="http://schemas.openxmlformats.org/officeDocument/2006/relationships/hyperlink" Target="https://doi.org/10.1109/MSP.2015.2427849" TargetMode="External"/><Relationship Id="rId31" Type="http://schemas.openxmlformats.org/officeDocument/2006/relationships/hyperlink" Target="https://scholar.google.com/scholar?q=%22Biometric%20Template%20Protection%3A%20Bridging%20the%20Performance%20Gap%20Between%20Theory%20and%20Practice%22" TargetMode="External"/><Relationship Id="rId32" Type="http://schemas.openxmlformats.org/officeDocument/2006/relationships/hyperlink" Target="https://doi.org/10.1145/2810103.2813603" TargetMode="External"/><Relationship Id="rId33" Type="http://schemas.openxmlformats.org/officeDocument/2006/relationships/hyperlink" Target="https://scholar.google.com/scholar?q=%22Face/Off%3A%20Preventing%20Privacy%20Leakage%20From%20Photos%20in%20Social%20Networks%22" TargetMode="External"/><Relationship Id="rId34" Type="http://schemas.openxmlformats.org/officeDocument/2006/relationships/hyperlink" Target="https://doi.org/10.1109/CVPR.2015.7298658" TargetMode="External"/><Relationship Id="rId35" Type="http://schemas.openxmlformats.org/officeDocument/2006/relationships/hyperlink" Target="https://scholar.google.com/scholar?q=%22Privacy%20Preserving%20Optics%20for%20Miniature%20Vision%20Sensors%22" TargetMode="External"/><Relationship Id="rId36" Type="http://schemas.openxmlformats.org/officeDocument/2006/relationships/hyperlink" Target="https://www.reflectacles.com/" TargetMode="External"/><Relationship Id="rId37" Type="http://schemas.openxmlformats.org/officeDocument/2006/relationships/hyperlink" Target="https://scholar.google.com/scholar?q=%22Reflectacles%3A%20IR-blocking%20and%20reflective%20privacy%20eyewear%22" TargetMode="External"/><Relationship Id="rId38" Type="http://schemas.openxmlformats.org/officeDocument/2006/relationships/hyperlink" Target="https://doi.org/10.1109/SP.2015.35" TargetMode="External"/><Relationship Id="rId39" Type="http://schemas.openxmlformats.org/officeDocument/2006/relationships/hyperlink" Target="https://scholar.google.com/scholar?q=%22Towards%20Making%20Systems%20Forget%20with%20Machine%20Unlearning%22" TargetMode="External"/><Relationship Id="rId40" Type="http://schemas.openxmlformats.org/officeDocument/2006/relationships/hyperlink" Target="https://doi.org/10.1016/j.eswa.2015.01.041" TargetMode="External"/><Relationship Id="rId41" Type="http://schemas.openxmlformats.org/officeDocument/2006/relationships/hyperlink" Target="https://scholar.google.com/scholar?q=%22Visual%20Privacy%20Protection%20Methods%3A%20A%20Survey%22" TargetMode="External"/><Relationship Id="rId42" Type="http://schemas.openxmlformats.org/officeDocument/2006/relationships/hyperlink" Target="https://doi.org/10.1109/ICDSP.2013.6622791" TargetMode="External"/><Relationship Id="rId43" Type="http://schemas.openxmlformats.org/officeDocument/2006/relationships/hyperlink" Target="https://scholar.google.com/scholar?q=%22Using%20Warping%20for%20Privacy%20Protection%20in%20Video%20Surveillance%22" TargetMode="External"/><Relationship Id="rId44" Type="http://schemas.openxmlformats.org/officeDocument/2006/relationships/hyperlink" Target="https://cvdazzle.com/" TargetMode="External"/><Relationship Id="rId45" Type="http://schemas.openxmlformats.org/officeDocument/2006/relationships/hyperlink" Target="https://scholar.google.com/scholar?q=%22CV%20Dazzle%3A%20Camouflage%20from%20Face%20Detection%22" TargetMode="External"/><Relationship Id="rId46" Type="http://schemas.openxmlformats.org/officeDocument/2006/relationships/hyperlink" Target="https://doi.org/10.1109/SP.2010.39" TargetMode="External"/><Relationship Id="rId47" Type="http://schemas.openxmlformats.org/officeDocument/2006/relationships/hyperlink" Target="https://scholar.google.com/scholar?q=%22SCiFI%3A%20A%20System%20for%20Secure%20Face%20Identification%22" TargetMode="External"/><Relationship Id="rId48" Type="http://schemas.openxmlformats.org/officeDocument/2006/relationships/hyperlink" Target="https://doi.org/10.1007/978-3-642-14423-3_16" TargetMode="External"/><Relationship Id="rId49" Type="http://schemas.openxmlformats.org/officeDocument/2006/relationships/hyperlink" Target="https://scholar.google.com/scholar?q=%22Efficient%20Privacy-Preserving%20Face%20Recognition%22" TargetMode="External"/><Relationship Id="rId50" Type="http://schemas.openxmlformats.org/officeDocument/2006/relationships/hyperlink" Target="https://doi.org/10.1007/978-1-84882-301-3_8" TargetMode="External"/><Relationship Id="rId51" Type="http://schemas.openxmlformats.org/officeDocument/2006/relationships/hyperlink" Target="https://scholar.google.com/scholar?q=%22Face%20De-Identification%22" TargetMode="External"/><Relationship Id="rId52" Type="http://schemas.openxmlformats.org/officeDocument/2006/relationships/hyperlink" Target="https://doi.org/10.1109/ICCV.2009.5459413" TargetMode="External"/><Relationship Id="rId53" Type="http://schemas.openxmlformats.org/officeDocument/2006/relationships/hyperlink" Target="https://scholar.google.com/scholar?q=%22Large-Scale%20Privacy%20Protection%20in%20Google%20Street%20View%22" TargetMode="External"/><Relationship Id="rId54" Type="http://schemas.openxmlformats.org/officeDocument/2006/relationships/hyperlink" Target="https://doi.org/10.1007/978-3-642-03168-7_14" TargetMode="External"/><Relationship Id="rId55" Type="http://schemas.openxmlformats.org/officeDocument/2006/relationships/hyperlink" Target="https://scholar.google.com/scholar?q=%22Privacy-Preserving%20Face%20Recognition%22" TargetMode="External"/><Relationship Id="rId56" Type="http://schemas.openxmlformats.org/officeDocument/2006/relationships/hyperlink" Target="https://doi.org/10.1145/1360612.1360638" TargetMode="External"/><Relationship Id="rId57" Type="http://schemas.openxmlformats.org/officeDocument/2006/relationships/hyperlink" Target="https://scholar.google.com/scholar?q=%22Face%20Swapping%3A%20Automatically%20Replacing%20Faces%20in%20Photographs%22" TargetMode="External"/><Relationship Id="rId58" Type="http://schemas.openxmlformats.org/officeDocument/2006/relationships/hyperlink" Target="https://doi.org/10.1109/TCSVT.2008.928225" TargetMode="External"/><Relationship Id="rId59" Type="http://schemas.openxmlformats.org/officeDocument/2006/relationships/hyperlink" Target="https://scholar.google.com/scholar?q=%22Scrambling%20for%20Privacy%20Protection%20in%20Video%20Surveillance%20Systems%22" TargetMode="External"/><Relationship Id="rId60" Type="http://schemas.openxmlformats.org/officeDocument/2006/relationships/hyperlink" Target="https://doi.org/10.1145/1143518.1143519" TargetMode="External"/><Relationship Id="rId61" Type="http://schemas.openxmlformats.org/officeDocument/2006/relationships/hyperlink" Target="https://scholar.google.com/scholar?q=%22Blur%20Filtration%20Fails%20to%20Preserve%20Privacy%20for%20Home-Based%20Video%20Conferencing%22" TargetMode="External"/><Relationship Id="rId62" Type="http://schemas.openxmlformats.org/officeDocument/2006/relationships/hyperlink" Target="https://doi.org/10.1007/11681878_14" TargetMode="External"/><Relationship Id="rId63" Type="http://schemas.openxmlformats.org/officeDocument/2006/relationships/hyperlink" Target="https://scholar.google.com/scholar?q=%22Calibrating%20Noise%20to%20Sensitivity%20in%20Private%20Data%20Analysis%22" TargetMode="External"/><Relationship Id="rId64" Type="http://schemas.openxmlformats.org/officeDocument/2006/relationships/hyperlink" Target="https://doi.org/10.1109/CVPRW.2006.125" TargetMode="External"/><Relationship Id="rId65" Type="http://schemas.openxmlformats.org/officeDocument/2006/relationships/hyperlink" Target="https://scholar.google.com/scholar?q=%22Model-Based%20Face%20De-Identification%22" TargetMode="External"/><Relationship Id="rId66" Type="http://schemas.openxmlformats.org/officeDocument/2006/relationships/hyperlink" Target="https://doi.org/10.1007/11767831_15" TargetMode="External"/><Relationship Id="rId67" Type="http://schemas.openxmlformats.org/officeDocument/2006/relationships/hyperlink" Target="https://scholar.google.com/scholar?q=%22Integrating%20Utility%20into%20Face%20De-identification%22" TargetMode="External"/><Relationship Id="rId68" Type="http://schemas.openxmlformats.org/officeDocument/2006/relationships/hyperlink" Target="https://doi.org/10.1109/TKDE.2005.32" TargetMode="External"/><Relationship Id="rId69" Type="http://schemas.openxmlformats.org/officeDocument/2006/relationships/hyperlink" Target="https://scholar.google.com/scholar?q=%22Preserving%20Privacy%20by%20De-identifying%20Face%20Images%22" TargetMode="External"/><Relationship Id="rId70" Type="http://schemas.openxmlformats.org/officeDocument/2006/relationships/hyperlink" Target="https://doi.org/10.1016/j.patcog.2004.04.011" TargetMode="External"/><Relationship Id="rId71" Type="http://schemas.openxmlformats.org/officeDocument/2006/relationships/hyperlink" Target="https://scholar.google.com/scholar?q=%22BioHashing%3A%20Two%20Factor%20Authentication%20Featuring%20Fingerprint%20Data%20and%20Tokenised%20Random%20Number%22" TargetMode="External"/><Relationship Id="rId72" Type="http://schemas.openxmlformats.org/officeDocument/2006/relationships/hyperlink" Target="https://doi.org/10.1109/ISIT.2002.1023680" TargetMode="External"/><Relationship Id="rId73" Type="http://schemas.openxmlformats.org/officeDocument/2006/relationships/hyperlink" Target="https://scholar.google.com/scholar?q=%22A%20Fuzzy%20Vault%20Scheme%22" TargetMode="External"/><Relationship Id="rId74" Type="http://schemas.openxmlformats.org/officeDocument/2006/relationships/hyperlink" Target="https://doi.org/10.1147/sj.403.0614" TargetMode="External"/><Relationship Id="rId75" Type="http://schemas.openxmlformats.org/officeDocument/2006/relationships/hyperlink" Target="https://scholar.google.com/scholar?q=%22Enhancing%20Security%20and%20Privacy%20in%20Biometrics-Based%20Authentication%20Systems%22" TargetMode="External"/><Relationship Id="rId76" Type="http://schemas.openxmlformats.org/officeDocument/2006/relationships/hyperlink" Target="https://doi.org/10.1145/358916.358935" TargetMode="External"/><Relationship Id="rId77" Type="http://schemas.openxmlformats.org/officeDocument/2006/relationships/hyperlink" Target="https://scholar.google.com/scholar?q=%22The%20Effects%20of%20Filtered%20Video%20on%20Awareness%20and%20Privacy%22" TargetMode="External"/><Relationship Id="rId78" Type="http://schemas.openxmlformats.org/officeDocument/2006/relationships/hyperlink" Target="https://doi.org/10.1145/319709.319714" TargetMode="External"/><Relationship Id="rId79" Type="http://schemas.openxmlformats.org/officeDocument/2006/relationships/hyperlink" Target="https://scholar.google.com/scholar?q=%22A%20Fuzzy%20Commitment%20Scheme%22" TargetMode="External"/><Relationship Id="rId80"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arxiv.org/abs/1804.04779" TargetMode="External"/><Relationship Id="rId2" Type="http://schemas.openxmlformats.org/officeDocument/2006/relationships/hyperlink" Target="https://scholar.google.com/scholar?q=%22A%20Hybrid%20Model%20for%20Identity%20Obfuscation%20by%20Face%20Replacement%22" TargetMode="External"/><Relationship Id="rId3" Type="http://schemas.openxmlformats.org/officeDocument/2006/relationships/hyperlink" Target="https://arxiv.org/abs/1802.06739" TargetMode="External"/><Relationship Id="rId4" Type="http://schemas.openxmlformats.org/officeDocument/2006/relationships/hyperlink" Target="https://scholar.google.com/scholar?q=%22Differentially%20Private%20Generative%20Adversarial%20Network%22" TargetMode="External"/><Relationship Id="rId5" Type="http://schemas.openxmlformats.org/officeDocument/2006/relationships/hyperlink" Target="https://doi.org/10.1109/CVPRW.2018.00087" TargetMode="External"/><Relationship Id="rId6" Type="http://schemas.openxmlformats.org/officeDocument/2006/relationships/hyperlink" Target="https://scholar.google.com/scholar?q=%22Face%20Template%20Protection%20Using%20Deep%20Convolutional%20Neural%20Network%22" TargetMode="External"/><Relationship Id="rId7" Type="http://schemas.openxmlformats.org/officeDocument/2006/relationships/hyperlink" Target="https://proceedings.mlr.press/v81/buolamwini18a.html" TargetMode="External"/><Relationship Id="rId8" Type="http://schemas.openxmlformats.org/officeDocument/2006/relationships/hyperlink" Target="https://scholar.google.com/scholar?q=%22Gender%20Shades%3A%20Intersectional%20Accuracy%20Disparities%20in%20Commercial%20Gender%20Classification%22" TargetMode="External"/><Relationship Id="rId9" Type="http://schemas.openxmlformats.org/officeDocument/2006/relationships/hyperlink" Target="https://doi.org/10.1109/TIFS.2017.2788000" TargetMode="External"/><Relationship Id="rId10" Type="http://schemas.openxmlformats.org/officeDocument/2006/relationships/hyperlink" Target="https://scholar.google.com/scholar?q=%22General%20Framework%20to%20Evaluate%20Unlinkability%20in%20Biometric%20Template%20Protection%20Systems%22" TargetMode="External"/><Relationship Id="rId11" Type="http://schemas.openxmlformats.org/officeDocument/2006/relationships/hyperlink" Target="https://doi.org/10.1007/978-3-319-95729-6_10" TargetMode="External"/><Relationship Id="rId12" Type="http://schemas.openxmlformats.org/officeDocument/2006/relationships/hyperlink" Target="https://scholar.google.com/scholar?q=%22Image%20Pixelization%20with%20Differential%20Privacy%22" TargetMode="External"/><Relationship Id="rId13" Type="http://schemas.openxmlformats.org/officeDocument/2006/relationships/hyperlink" Target="https://arxiv.org/abs/1803.04683" TargetMode="External"/><Relationship Id="rId14" Type="http://schemas.openxmlformats.org/officeDocument/2006/relationships/hyperlink" Target="https://scholar.google.com/scholar?q=%22Invisible%20Mask%3A%20Practical%20Attacks%20on%20Face%20Recognition%20with%20Infrared%22" TargetMode="External"/><Relationship Id="rId15" Type="http://schemas.openxmlformats.org/officeDocument/2006/relationships/hyperlink" Target="https://arxiv.org/abs/1803.11556" TargetMode="External"/><Relationship Id="rId16" Type="http://schemas.openxmlformats.org/officeDocument/2006/relationships/hyperlink" Target="https://scholar.google.com/scholar?q=%22Learning%20to%20Anonymize%20Faces%20for%20Privacy%20Preserving%20Action%20Detection%22" TargetMode="External"/><Relationship Id="rId17" Type="http://schemas.openxmlformats.org/officeDocument/2006/relationships/hyperlink" Target="https://arxiv.org/abs/1711.09001" TargetMode="External"/><Relationship Id="rId18" Type="http://schemas.openxmlformats.org/officeDocument/2006/relationships/hyperlink" Target="https://scholar.google.com/scholar?q=%22Natural%20and%20Effective%20Obfuscation%20by%20Head%20Inpainting%22" TargetMode="External"/><Relationship Id="rId19" Type="http://schemas.openxmlformats.org/officeDocument/2006/relationships/hyperlink" Target="https://github.com/human-analysis/secure-face-matching" TargetMode="External"/><Relationship Id="rId20" Type="http://schemas.openxmlformats.org/officeDocument/2006/relationships/hyperlink" Target="https://arxiv.org/abs/1805.00577" TargetMode="External"/><Relationship Id="rId21" Type="http://schemas.openxmlformats.org/officeDocument/2006/relationships/hyperlink" Target="https://scholar.google.com/scholar?q=%22Secure%20Face%20Matching%20Using%20Fully%20Homomorphic%20Encryption%22" TargetMode="External"/><Relationship Id="rId22" Type="http://schemas.openxmlformats.org/officeDocument/2006/relationships/hyperlink" Target="https://arxiv.org/abs/1712.00321" TargetMode="External"/><Relationship Id="rId23" Type="http://schemas.openxmlformats.org/officeDocument/2006/relationships/hyperlink" Target="https://scholar.google.com/scholar?q=%22Semi-Adversarial%20Networks%3A%20Convolutional%20Autoencoders%20for%20Imparting%20Privacy%20to%20Face%20Images%22" TargetMode="External"/><Relationship Id="rId24" Type="http://schemas.openxmlformats.org/officeDocument/2006/relationships/hyperlink" Target="https://arxiv.org/abs/1807.08379" TargetMode="External"/><Relationship Id="rId25" Type="http://schemas.openxmlformats.org/officeDocument/2006/relationships/hyperlink" Target="https://scholar.google.com/scholar?q=%22Towards%20Privacy-Preserving%20Visual%20Recognition%20via%20Adversarial%20Training%3A%20A%20Pilot%20Study%22" TargetMode="External"/><Relationship Id="rId26" Type="http://schemas.openxmlformats.org/officeDocument/2006/relationships/hyperlink" Target="https://doi.org/10.3390/e20010060" TargetMode="External"/><Relationship Id="rId27" Type="http://schemas.openxmlformats.org/officeDocument/2006/relationships/hyperlink" Target="https://scholar.google.com/scholar?q=%22k-Same-Net%3A%20k-Anonymity%20with%20Generative%20Deep%20Neural%20Networks%20for%20Face%20Deidentification%22" TargetMode="External"/><Relationship Id="rId28"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arxiv.org/abs/1801.00349" TargetMode="External"/><Relationship Id="rId2" Type="http://schemas.openxmlformats.org/officeDocument/2006/relationships/hyperlink" Target="https://scholar.google.com/scholar?q=%22A%20General%20Framework%20for%20Adversarial%20Examples%20with%20Objectives%22" TargetMode="External"/><Relationship Id="rId3" Type="http://schemas.openxmlformats.org/officeDocument/2006/relationships/hyperlink" Target="https://doi.org/10.1145/3306618.3314244" TargetMode="External"/><Relationship Id="rId4" Type="http://schemas.openxmlformats.org/officeDocument/2006/relationships/hyperlink" Target="https://scholar.google.com/scholar?q=%22Actionable%20Auditing%3A%20Investigating%20the%20Impact%20of%20Publicly%20Naming%20Biased%20Performance%20Results%20of%20Commercial%20AI%20Products%22" TargetMode="External"/><Relationship Id="rId5" Type="http://schemas.openxmlformats.org/officeDocument/2006/relationships/hyperlink" Target="https://arxiv.org/abs/1904.12620" TargetMode="External"/><Relationship Id="rId6" Type="http://schemas.openxmlformats.org/officeDocument/2006/relationships/hyperlink" Target="https://scholar.google.com/scholar?q=%22AnonymousNet%3A%20Natural%20Face%20De-Identification%20with%20Measurable%20Privacy%22" TargetMode="External"/><Relationship Id="rId7" Type="http://schemas.openxmlformats.org/officeDocument/2006/relationships/hyperlink" Target="https://github.com/hukkelas/DeepPrivacy" TargetMode="External"/><Relationship Id="rId8" Type="http://schemas.openxmlformats.org/officeDocument/2006/relationships/hyperlink" Target="https://arxiv.org/abs/1909.04538" TargetMode="External"/><Relationship Id="rId9" Type="http://schemas.openxmlformats.org/officeDocument/2006/relationships/hyperlink" Target="https://scholar.google.com/scholar?q=%22DeepPrivacy%3A%20A%20Generative%20Adversarial%20Network%20for%20Face%20Anonymization%22" TargetMode="External"/><Relationship Id="rId10" Type="http://schemas.openxmlformats.org/officeDocument/2006/relationships/hyperlink" Target="https://doi.org/10.1007/978-3-030-29726-8_15" TargetMode="External"/><Relationship Id="rId11" Type="http://schemas.openxmlformats.org/officeDocument/2006/relationships/hyperlink" Target="https://scholar.google.com/scholar?q=%22Differentially%20Private%20Obfuscation%20of%20Facial%20Images%22" TargetMode="External"/><Relationship Id="rId12" Type="http://schemas.openxmlformats.org/officeDocument/2006/relationships/hyperlink" Target="https://doi.org/10.6028/NIST.IR.8280" TargetMode="External"/><Relationship Id="rId13" Type="http://schemas.openxmlformats.org/officeDocument/2006/relationships/hyperlink" Target="https://scholar.google.com/scholar?q=%22Face%20Recognition%20Vendor%20Test%20Part%203%3A%20Demographic%20Effects%22" TargetMode="External"/><Relationship Id="rId14" Type="http://schemas.openxmlformats.org/officeDocument/2006/relationships/hyperlink" Target="https://doi.org/10.1109/ACCESS.2019.2924619" TargetMode="External"/><Relationship Id="rId15" Type="http://schemas.openxmlformats.org/officeDocument/2006/relationships/hyperlink" Target="https://scholar.google.com/scholar?q=%22FlowSAN%3A%20Privacy-Enhancing%20Semi-Adversarial%20Networks%20to%20Confound%20Arbitrary%20Face-Based%20Gender%20Classifiers%22" TargetMode="External"/><Relationship Id="rId16" Type="http://schemas.openxmlformats.org/officeDocument/2006/relationships/hyperlink" Target="https://arxiv.org/abs/1911.08348" TargetMode="External"/><Relationship Id="rId17" Type="http://schemas.openxmlformats.org/officeDocument/2006/relationships/hyperlink" Target="https://scholar.google.com/scholar?q=%22Live%20Face%20De-Identification%20in%20Video%22" TargetMode="External"/><Relationship Id="rId18" Type="http://schemas.openxmlformats.org/officeDocument/2006/relationships/hyperlink" Target="https://arxiv.org/abs/1703.00832" TargetMode="External"/><Relationship Id="rId19" Type="http://schemas.openxmlformats.org/officeDocument/2006/relationships/hyperlink" Target="https://scholar.google.com/scholar?q=%22On%20the%20Reconstruction%20of%20Face%20Images%20from%20Deep%20Face%20Templates%22" TargetMode="External"/><Relationship Id="rId20" Type="http://schemas.openxmlformats.org/officeDocument/2006/relationships/hyperlink" Target="https://openreview.net/forum?id=S1zk9iRqF7" TargetMode="External"/><Relationship Id="rId21" Type="http://schemas.openxmlformats.org/officeDocument/2006/relationships/hyperlink" Target="https://scholar.google.com/scholar?q=%22PATE-GAN%3A%20Generating%20Synthetic%20Data%20with%20Differential%20Privacy%20Guarantees%22" TargetMode="External"/><Relationship Id="rId22" Type="http://schemas.openxmlformats.org/officeDocument/2006/relationships/hyperlink" Target="https://doi.org/10.1109/ICME.2019.00140" TargetMode="External"/><Relationship Id="rId23" Type="http://schemas.openxmlformats.org/officeDocument/2006/relationships/hyperlink" Target="https://scholar.google.com/scholar?q=%22Practical%20Image%20Obfuscation%20with%20Provable%20Privacy%22" TargetMode="External"/><Relationship Id="rId24" Type="http://schemas.openxmlformats.org/officeDocument/2006/relationships/hyperlink" Target="https://doi.org/10.1109/ICB45695.2019.8987331" TargetMode="External"/><Relationship Id="rId25" Type="http://schemas.openxmlformats.org/officeDocument/2006/relationships/hyperlink" Target="https://scholar.google.com/scholar?q=%22Suppressing%20Gender%20and%20Age%20in%20Face%20Templates%20Using%20Incremental%20Variable%20Elimination%22" TargetMode="External"/><Relationship Id="rId26"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https://arxiv.org/abs/1908.05008" TargetMode="External"/><Relationship Id="rId2" Type="http://schemas.openxmlformats.org/officeDocument/2006/relationships/hyperlink" Target="https://scholar.google.com/scholar?q=%22AdvFaces%3A%20Adversarial%20Face%20Synthesis%22" TargetMode="External"/><Relationship Id="rId3" Type="http://schemas.openxmlformats.org/officeDocument/2006/relationships/hyperlink" Target="https://github.com/papermsucode/advhat" TargetMode="External"/><Relationship Id="rId4" Type="http://schemas.openxmlformats.org/officeDocument/2006/relationships/hyperlink" Target="https://arxiv.org/abs/1908.08705" TargetMode="External"/><Relationship Id="rId5" Type="http://schemas.openxmlformats.org/officeDocument/2006/relationships/hyperlink" Target="https://scholar.google.com/scholar?q=%22AdvHat%3A%20Real-World%20Adversarial%20Attack%20on%20ArcFace%20Face%20ID%20System%22" TargetMode="External"/><Relationship Id="rId6" Type="http://schemas.openxmlformats.org/officeDocument/2006/relationships/hyperlink" Target="https://github.com/dvl-tum/ciagan" TargetMode="External"/><Relationship Id="rId7" Type="http://schemas.openxmlformats.org/officeDocument/2006/relationships/hyperlink" Target="https://arxiv.org/abs/2005.09544" TargetMode="External"/><Relationship Id="rId8" Type="http://schemas.openxmlformats.org/officeDocument/2006/relationships/hyperlink" Target="https://scholar.google.com/scholar?q=%22CIAGAN%3A%20Conditional%20Identity%20Anonymization%20Generative%20Adversarial%20Networks%22" TargetMode="External"/><Relationship Id="rId9" Type="http://schemas.openxmlformats.org/officeDocument/2006/relationships/hyperlink" Target="https://ieeexplore.ieee.org/document/9210976" TargetMode="External"/><Relationship Id="rId10" Type="http://schemas.openxmlformats.org/officeDocument/2006/relationships/hyperlink" Target="https://scholar.google.com/scholar?q=%22Efficiency%20Analysis%20of%20Post-Quantum-Secure%20Face%20Template%20Protection%20Schemes%20Based%20on%20Homomorphic%20Encryption%22" TargetMode="External"/><Relationship Id="rId11" Type="http://schemas.openxmlformats.org/officeDocument/2006/relationships/hyperlink" Target="https://github.com/AdityaGolatkar/SelectiveForgetting" TargetMode="External"/><Relationship Id="rId12" Type="http://schemas.openxmlformats.org/officeDocument/2006/relationships/hyperlink" Target="https://arxiv.org/abs/1911.04933" TargetMode="External"/><Relationship Id="rId13" Type="http://schemas.openxmlformats.org/officeDocument/2006/relationships/hyperlink" Target="https://scholar.google.com/scholar?q=%22Eternal%20Sunshine%20of%20the%20Spotless%20Net%3A%20Selective%20Forgetting%20in%20Deep%20Networks%22" TargetMode="External"/><Relationship Id="rId14" Type="http://schemas.openxmlformats.org/officeDocument/2006/relationships/hyperlink" Target="https://www.ajl.org/federal-office-call" TargetMode="External"/><Relationship Id="rId15" Type="http://schemas.openxmlformats.org/officeDocument/2006/relationships/hyperlink" Target="https://scholar.google.com/scholar?q=%22Facial%20Recognition%20Technologies%20in%20the%20Wild%3A%20A%20Call%20for%20a%20Federal%20Office%22" TargetMode="External"/><Relationship Id="rId16" Type="http://schemas.openxmlformats.org/officeDocument/2006/relationships/hyperlink" Target="https://github.com/Shawn-Shan/fawkes" TargetMode="External"/><Relationship Id="rId17" Type="http://schemas.openxmlformats.org/officeDocument/2006/relationships/hyperlink" Target="https://arxiv.org/abs/2002.08327" TargetMode="External"/><Relationship Id="rId18" Type="http://schemas.openxmlformats.org/officeDocument/2006/relationships/hyperlink" Target="https://scholar.google.com/scholar?q=%22Fawkes%3A%20Protecting%20Privacy%20against%20Unauthorized%20Deep%20Learning%20Models%22" TargetMode="External"/><Relationship Id="rId19" Type="http://schemas.openxmlformats.org/officeDocument/2006/relationships/hyperlink" Target="https://github.com/AdityaGolatkar/SelectiveForgetting" TargetMode="External"/><Relationship Id="rId20" Type="http://schemas.openxmlformats.org/officeDocument/2006/relationships/hyperlink" Target="https://arxiv.org/abs/2003.02960" TargetMode="External"/><Relationship Id="rId21" Type="http://schemas.openxmlformats.org/officeDocument/2006/relationships/hyperlink" Target="https://scholar.google.com/scholar?q=%22Forgetting%20Outside%20the%20Box%3A%20Scrubbing%20Deep%20Networks%20of%20Information%20Accessible%20from%20Input-Output%20Observations%22" TargetMode="External"/><Relationship Id="rId22" Type="http://schemas.openxmlformats.org/officeDocument/2006/relationships/hyperlink" Target="https://github.com/Hazelsuko07/InstaHide" TargetMode="External"/><Relationship Id="rId23" Type="http://schemas.openxmlformats.org/officeDocument/2006/relationships/hyperlink" Target="https://arxiv.org/abs/2010.02772" TargetMode="External"/><Relationship Id="rId24" Type="http://schemas.openxmlformats.org/officeDocument/2006/relationships/hyperlink" Target="https://scholar.google.com/scholar?q=%22InstaHide%3A%20Instance-hiding%20Schemes%20for%20Private%20Distributed%20Learning%22" TargetMode="External"/><Relationship Id="rId25" Type="http://schemas.openxmlformats.org/officeDocument/2006/relationships/hyperlink" Target="https://doi.org/10.1109/FG47880.2020.00007" TargetMode="External"/><Relationship Id="rId26" Type="http://schemas.openxmlformats.org/officeDocument/2006/relationships/hyperlink" Target="https://scholar.google.com/scholar?q=%22Learning%20Privacy-Enhancing%20Face%20Representations%20Through%20Feature%20Disentanglement%22" TargetMode="External"/><Relationship Id="rId27" Type="http://schemas.openxmlformats.org/officeDocument/2006/relationships/hyperlink" Target="https://doi.org/10.6028/NIST.IR.8331" TargetMode="External"/><Relationship Id="rId28" Type="http://schemas.openxmlformats.org/officeDocument/2006/relationships/hyperlink" Target="https://scholar.google.com/scholar?q=%22Ongoing%20Face%20Recognition%20Vendor%20Test%20Part%206B%3A%20Face%20Recognition%20Accuracy%20with%20Face%20Masks%20Using%20Post-COVID-19%20Algorithms%22" TargetMode="External"/><Relationship Id="rId29" Type="http://schemas.openxmlformats.org/officeDocument/2006/relationships/hyperlink" Target="https://doi.org/10.1109/ACCESS.2020.2994960" TargetMode="External"/><Relationship Id="rId30" Type="http://schemas.openxmlformats.org/officeDocument/2006/relationships/hyperlink" Target="https://scholar.google.com/scholar?q=%22PE-MIU%3A%20A%20Training-Free%20Privacy-Enhancing%20Face%20Recognition%20Approach%20Based%20on%20Minimum%20Information%20Units%22" TargetMode="External"/><Relationship Id="rId31" Type="http://schemas.openxmlformats.org/officeDocument/2006/relationships/hyperlink" Target="https://github.com/laoreja/face-identity-transformer" TargetMode="External"/><Relationship Id="rId32" Type="http://schemas.openxmlformats.org/officeDocument/2006/relationships/hyperlink" Target="https://arxiv.org/abs/1911.11759" TargetMode="External"/><Relationship Id="rId33" Type="http://schemas.openxmlformats.org/officeDocument/2006/relationships/hyperlink" Target="https://scholar.google.com/scholar?q=%22Password-Conditioned%20Anonymization%20and%20Deanonymization%20with%20Face%20Identity%20Transformers%22" TargetMode="External"/><Relationship Id="rId34" Type="http://schemas.openxmlformats.org/officeDocument/2006/relationships/hyperlink" Target="https://ieeexplore.ieee.org/document/9211021" TargetMode="External"/><Relationship Id="rId35" Type="http://schemas.openxmlformats.org/officeDocument/2006/relationships/hyperlink" Target="https://scholar.google.com/scholar?q=%22Privacy%20Evaluation%20Protocols%20for%20the%20Evaluation%20of%20Soft-Biometric%20Privacy-Enhancing%20Technologies%22" TargetMode="External"/><Relationship Id="rId36" Type="http://schemas.openxmlformats.org/officeDocument/2006/relationships/hyperlink" Target="https://doi.org/10.1016/j.cose.2020.101951" TargetMode="External"/><Relationship Id="rId37" Type="http://schemas.openxmlformats.org/officeDocument/2006/relationships/hyperlink" Target="https://scholar.google.com/scholar?q=%22Privacy%20Preserving%20Face%20Recognition%20Utilizing%20Differential%20Privacy%22" TargetMode="External"/><Relationship Id="rId38" Type="http://schemas.openxmlformats.org/officeDocument/2006/relationships/hyperlink" Target="https://arxiv.org/abs/2001.00561" TargetMode="External"/><Relationship Id="rId39" Type="http://schemas.openxmlformats.org/officeDocument/2006/relationships/hyperlink" Target="https://scholar.google.com/scholar?q=%22PrivacyNet%3A%20Semi-Adversarial%20Networks%20for%20Multi-Attribute%20Face%20Privacy%22" TargetMode="External"/><Relationship Id="rId40" Type="http://schemas.openxmlformats.org/officeDocument/2006/relationships/hyperlink" Target="https://www.nytimes.com/2020/01/18/technology/clearview-privacy-facial-recognition.html" TargetMode="External"/><Relationship Id="rId41" Type="http://schemas.openxmlformats.org/officeDocument/2006/relationships/hyperlink" Target="https://scholar.google.com/scholar?q=%22The%20Secretive%20Company%20That%20Might%20End%20Privacy%20as%20We%20Know%20It%22" TargetMode="External"/><Relationship Id="rId42" Type="http://schemas.openxmlformats.org/officeDocument/2006/relationships/hyperlink" Target="https://arxiv.org/abs/2002.09181" TargetMode="External"/><Relationship Id="rId43" Type="http://schemas.openxmlformats.org/officeDocument/2006/relationships/hyperlink" Target="https://scholar.google.com/scholar?q=%22Unsupervised%20Enhancement%20of%20Soft-Biometric%20Privacy%20with%20Negative%20Face%20Recognition%22" TargetMode="External"/><Relationship Id="rId44" Type="http://schemas.openxmlformats.org/officeDocument/2006/relationships/hyperlink" Target="https://arxiv.org/abs/2003.06958" TargetMode="External"/><Relationship Id="rId45" Type="http://schemas.openxmlformats.org/officeDocument/2006/relationships/hyperlink" Target="https://scholar.google.com/scholar?q=%22Vec2Face%3A%20Unveil%20Human%20Faces%20from%20their%20Blackbox%20Features%20in%20Face%20Recognition%22" TargetMode="External"/><Relationship Id="rId46"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https://arxiv.org/abs/2102.00813" TargetMode="External"/><Relationship Id="rId2" Type="http://schemas.openxmlformats.org/officeDocument/2006/relationships/hyperlink" Target="https://scholar.google.com/scholar?q=%22About%20Face%3A%20A%20Survey%20of%20Facial%20Recognition%20Evaluation%22" TargetMode="External"/><Relationship Id="rId3" Type="http://schemas.openxmlformats.org/officeDocument/2006/relationships/hyperlink" Target="https://github.com/TencentYoutuResearch/Adv-Makeup" TargetMode="External"/><Relationship Id="rId4" Type="http://schemas.openxmlformats.org/officeDocument/2006/relationships/hyperlink" Target="https://arxiv.org/abs/2105.03162" TargetMode="External"/><Relationship Id="rId5" Type="http://schemas.openxmlformats.org/officeDocument/2006/relationships/hyperlink" Target="https://scholar.google.com/scholar?q=%22Adv-Makeup%3A%20A%20New%20Imperceptible%20and%20Transferable%20Attack%20on%20Face%20Recognition%22" TargetMode="External"/><Relationship Id="rId6" Type="http://schemas.openxmlformats.org/officeDocument/2006/relationships/hyperlink" Target="https://github.com/lhfowl/adversarial_poisons" TargetMode="External"/><Relationship Id="rId7" Type="http://schemas.openxmlformats.org/officeDocument/2006/relationships/hyperlink" Target="https://arxiv.org/abs/2106.10807" TargetMode="External"/><Relationship Id="rId8" Type="http://schemas.openxmlformats.org/officeDocument/2006/relationships/hyperlink" Target="https://scholar.google.com/scholar?q=%22Adversarial%20Examples%20Make%20Strong%20Poisons%22" TargetMode="External"/><Relationship Id="rId9" Type="http://schemas.openxmlformats.org/officeDocument/2006/relationships/hyperlink" Target="https://arxiv.org/abs/2103.07073" TargetMode="External"/><Relationship Id="rId10" Type="http://schemas.openxmlformats.org/officeDocument/2006/relationships/hyperlink" Target="https://scholar.google.com/scholar?q=%22DP-Image%3A%20Differential%20Privacy%20for%20Image%20Data%20in%20Feature%20Space%22" TargetMode="External"/><Relationship Id="rId11" Type="http://schemas.openxmlformats.org/officeDocument/2006/relationships/hyperlink" Target="https://exposing.ai/" TargetMode="External"/><Relationship Id="rId12" Type="http://schemas.openxmlformats.org/officeDocument/2006/relationships/hyperlink" Target="https://scholar.google.com/scholar?q=%22Exposing.ai%20%28MegaPixels%29%3A%20Face%20Datasets%20and%20Their%20Provenance%22" TargetMode="External"/><Relationship Id="rId13" Type="http://schemas.openxmlformats.org/officeDocument/2006/relationships/hyperlink" Target="https://github.com/wi-pi/face-off" TargetMode="External"/><Relationship Id="rId14" Type="http://schemas.openxmlformats.org/officeDocument/2006/relationships/hyperlink" Target="https://doi.org/10.2478/popets-2021-0032" TargetMode="External"/><Relationship Id="rId15" Type="http://schemas.openxmlformats.org/officeDocument/2006/relationships/hyperlink" Target="https://scholar.google.com/scholar?q=%22Face-Off%3A%20Adversarial%20Face%20Obfuscation%22" TargetMode="External"/><Relationship Id="rId16" Type="http://schemas.openxmlformats.org/officeDocument/2006/relationships/hyperlink" Target="https://arxiv.org/abs/2104.03008" TargetMode="External"/><Relationship Id="rId17" Type="http://schemas.openxmlformats.org/officeDocument/2006/relationships/hyperlink" Target="https://scholar.google.com/scholar?q=%22FedFace%3A%20Collaborative%20Learning%20of%20Face%20Recognition%20Model%22" TargetMode="External"/><Relationship Id="rId18" Type="http://schemas.openxmlformats.org/officeDocument/2006/relationships/hyperlink" Target="https://github.com/evtimovi/foggysight" TargetMode="External"/><Relationship Id="rId19" Type="http://schemas.openxmlformats.org/officeDocument/2006/relationships/hyperlink" Target="https://doi.org/10.2478/popets-2021-0044" TargetMode="External"/><Relationship Id="rId20" Type="http://schemas.openxmlformats.org/officeDocument/2006/relationships/hyperlink" Target="https://scholar.google.com/scholar?q=%22FoggySight%3A%20A%20Scheme%20for%20Facial%20Lookup%20Privacy%22" TargetMode="External"/><Relationship Id="rId21" Type="http://schemas.openxmlformats.org/officeDocument/2006/relationships/hyperlink" Target="https://doi.org/10.1145/3474085.3475367" TargetMode="External"/><Relationship Id="rId22" Type="http://schemas.openxmlformats.org/officeDocument/2006/relationships/hyperlink" Target="https://scholar.google.com/scholar?q=%22Identity-Preserving%20Face%20Anonymization%20via%20Adaptively%20Facial%20Attributes%20Obfuscation%22" TargetMode="External"/><Relationship Id="rId23" Type="http://schemas.openxmlformats.org/officeDocument/2006/relationships/hyperlink" Target="https://arxiv.org/abs/2106.15058" TargetMode="External"/><Relationship Id="rId24" Type="http://schemas.openxmlformats.org/officeDocument/2006/relationships/hyperlink" Target="https://scholar.google.com/scholar?q=%22Improving%20Transferability%20of%20Adversarial%20Patches%20on%20Face%20Recognition%20with%20Generative%20Models%22" TargetMode="External"/><Relationship Id="rId25" Type="http://schemas.openxmlformats.org/officeDocument/2006/relationships/hyperlink" Target="https://arxiv.org/abs/2104.02239" TargetMode="External"/><Relationship Id="rId26" Type="http://schemas.openxmlformats.org/officeDocument/2006/relationships/hyperlink" Target="https://scholar.google.com/scholar?q=%22IronMask%3A%20Modular%20Architecture%20for%20Protecting%20Deep%20Face%20Template%22" TargetMode="External"/><Relationship Id="rId27" Type="http://schemas.openxmlformats.org/officeDocument/2006/relationships/hyperlink" Target="https://arxiv.org/abs/2011.05315" TargetMode="External"/><Relationship Id="rId28" Type="http://schemas.openxmlformats.org/officeDocument/2006/relationships/hyperlink" Target="https://scholar.google.com/scholar?q=%22Is%20Private%20Learning%20Possible%20with%20Instance%20Encoding%3F%22" TargetMode="External"/><Relationship Id="rId29" Type="http://schemas.openxmlformats.org/officeDocument/2006/relationships/hyperlink" Target="https://arxiv.org/abs/2006.16923" TargetMode="External"/><Relationship Id="rId30" Type="http://schemas.openxmlformats.org/officeDocument/2006/relationships/hyperlink" Target="https://scholar.google.com/scholar?q=%22Large%20Image%20Datasets%3A%20A%20Pyrrhic%20Win%20for%20Computer%20Vision%3F%22" TargetMode="External"/><Relationship Id="rId31" Type="http://schemas.openxmlformats.org/officeDocument/2006/relationships/hyperlink" Target="https://github.com/carlosh93/privacy-optics-hpe" TargetMode="External"/><Relationship Id="rId32" Type="http://schemas.openxmlformats.org/officeDocument/2006/relationships/hyperlink" Target="https://openaccess.thecvf.com/content/ICCV2021/html/Hinojosa_Learning_Privacy-Preserving_Optics_for_Human_Pose_Estimation_ICCV_2021_paper.html" TargetMode="External"/><Relationship Id="rId33" Type="http://schemas.openxmlformats.org/officeDocument/2006/relationships/hyperlink" Target="https://scholar.google.com/scholar?q=%22Learning%20Privacy-Preserving%20Optics%20for%20Human%20Pose%20Estimation%22" TargetMode="External"/><Relationship Id="rId34" Type="http://schemas.openxmlformats.org/officeDocument/2006/relationships/hyperlink" Target="https://lowkey.umiacs.umd.edu/" TargetMode="External"/><Relationship Id="rId35" Type="http://schemas.openxmlformats.org/officeDocument/2006/relationships/hyperlink" Target="https://arxiv.org/abs/2101.07922" TargetMode="External"/><Relationship Id="rId36" Type="http://schemas.openxmlformats.org/officeDocument/2006/relationships/hyperlink" Target="https://scholar.google.com/scholar?q=%22LowKey%3A%20Leveraging%20Adversarial%20Attacks%20to%20Protect%20Social%20Media%20Users%20from%20Facial%20Recognition%22" TargetMode="External"/><Relationship Id="rId37" Type="http://schemas.openxmlformats.org/officeDocument/2006/relationships/hyperlink" Target="https://github.com/cleverhans-lab/machine-unlearning" TargetMode="External"/><Relationship Id="rId38" Type="http://schemas.openxmlformats.org/officeDocument/2006/relationships/hyperlink" Target="https://arxiv.org/abs/1912.03817" TargetMode="External"/><Relationship Id="rId39" Type="http://schemas.openxmlformats.org/officeDocument/2006/relationships/hyperlink" Target="https://scholar.google.com/scholar?q=%22Machine%20Unlearning%22" TargetMode="External"/><Relationship Id="rId40" Type="http://schemas.openxmlformats.org/officeDocument/2006/relationships/hyperlink" Target="https://doi.org/10.1007/s12083-021-01091-9" TargetMode="External"/><Relationship Id="rId41" Type="http://schemas.openxmlformats.org/officeDocument/2006/relationships/hyperlink" Target="https://scholar.google.com/scholar?q=%22Obfuscation%20of%20Images%20via%20Differential%20Privacy%3A%20From%20Facial%20Images%20to%20General%20Images%22" TargetMode="External"/><Relationship Id="rId42" Type="http://schemas.openxmlformats.org/officeDocument/2006/relationships/hyperlink" Target="https://doi.org/10.2478/popets-2021-0006" TargetMode="External"/><Relationship Id="rId43" Type="http://schemas.openxmlformats.org/officeDocument/2006/relationships/hyperlink" Target="https://scholar.google.com/scholar?q=%22On%20the%20%28Im%29Practicality%20of%20Adversarial%20Perturbation%20for%20Image%20Privacy%22" TargetMode="External"/><Relationship Id="rId44" Type="http://schemas.openxmlformats.org/officeDocument/2006/relationships/hyperlink" Target="https://arxiv.org/abs/2102.11502" TargetMode="External"/><Relationship Id="rId45" Type="http://schemas.openxmlformats.org/officeDocument/2006/relationships/hyperlink" Target="https://scholar.google.com/scholar?q=%22Oriole%3A%20Thwarting%20Privacy%20Against%20Trustworthy%20Deep%20Learning%20Models%22" TargetMode="External"/><Relationship Id="rId46" Type="http://schemas.openxmlformats.org/officeDocument/2006/relationships/hyperlink" Target="https://arxiv.org/abs/2108.03764" TargetMode="External"/><Relationship Id="rId47" Type="http://schemas.openxmlformats.org/officeDocument/2006/relationships/hyperlink" Target="https://scholar.google.com/scholar?q=%22PASS%3A%20Protected%20Attribute%20Suppression%20System%20for%20Mitigating%20Bias%20in%20Face%20Recognition%22" TargetMode="External"/><Relationship Id="rId48" Type="http://schemas.openxmlformats.org/officeDocument/2006/relationships/hyperlink" Target="https://openaccess.thecvf.com/content/ICCV2021/html/Cao_Personalized_and_Invertible_Face_De-Identification_by_Disentangled_Identity_Information_Manipulation_ICCV_2021_paper.html" TargetMode="External"/><Relationship Id="rId49" Type="http://schemas.openxmlformats.org/officeDocument/2006/relationships/hyperlink" Target="https://scholar.google.com/scholar?q=%22Personalized%20and%20Invertible%20Face%20De-identification%20by%20Disentangled%20Identity%20Information%20Manipulation%22" TargetMode="External"/><Relationship Id="rId50" Type="http://schemas.openxmlformats.org/officeDocument/2006/relationships/hyperlink" Target="https://doi.org/10.1109/TIFS.2021.3096024" TargetMode="External"/><Relationship Id="rId51" Type="http://schemas.openxmlformats.org/officeDocument/2006/relationships/hyperlink" Target="https://scholar.google.com/scholar?q=%22Privacy-Enhancing%20Face%20Biometrics%3A%20A%20Comprehensive%20Survey%22" TargetMode="External"/><Relationship Id="rId52" Type="http://schemas.openxmlformats.org/officeDocument/2006/relationships/hyperlink" Target="https://arxiv.org/abs/1902.00334" TargetMode="External"/><Relationship Id="rId53" Type="http://schemas.openxmlformats.org/officeDocument/2006/relationships/hyperlink" Target="https://scholar.google.com/scholar?q=%22SensitiveNets%3A%20Learning%20Agnostic%20Representations%20with%20Application%20to%20Face%20Images%22" TargetMode="External"/><Relationship Id="rId54" Type="http://schemas.openxmlformats.org/officeDocument/2006/relationships/hyperlink" Target="https://github.com/haibo-qiu/SynFace" TargetMode="External"/><Relationship Id="rId55" Type="http://schemas.openxmlformats.org/officeDocument/2006/relationships/hyperlink" Target="https://arxiv.org/abs/2108.07960" TargetMode="External"/><Relationship Id="rId56" Type="http://schemas.openxmlformats.org/officeDocument/2006/relationships/hyperlink" Target="https://scholar.google.com/scholar?q=%22SynFace%3A%20Face%20Recognition%20with%20Synthetic%20Data%22" TargetMode="External"/><Relationship Id="rId57" Type="http://schemas.openxmlformats.org/officeDocument/2006/relationships/hyperlink" Target="https://github.com/ShawnXYang/TIP-IM" TargetMode="External"/><Relationship Id="rId58" Type="http://schemas.openxmlformats.org/officeDocument/2006/relationships/hyperlink" Target="https://arxiv.org/abs/2003.06814" TargetMode="External"/><Relationship Id="rId59" Type="http://schemas.openxmlformats.org/officeDocument/2006/relationships/hyperlink" Target="https://scholar.google.com/scholar?q=%22Towards%20Face%20Encryption%20by%20Generating%20Adversarial%20Identity%20Masks%22" TargetMode="External"/><Relationship Id="rId60" Type="http://schemas.openxmlformats.org/officeDocument/2006/relationships/hyperlink" Target="https://arxiv.org/abs/2104.02821" TargetMode="External"/><Relationship Id="rId61" Type="http://schemas.openxmlformats.org/officeDocument/2006/relationships/hyperlink" Target="https://scholar.google.com/scholar?q=%22Towards%20Measuring%20Fairness%20in%20AI%3A%20The%20Casual%20Conversations%20Dataset%22" TargetMode="External"/><Relationship Id="rId62" Type="http://schemas.openxmlformats.org/officeDocument/2006/relationships/hyperlink" Target="https://github.com/HanxunH/Unlearnable-Examples" TargetMode="External"/><Relationship Id="rId63" Type="http://schemas.openxmlformats.org/officeDocument/2006/relationships/hyperlink" Target="https://arxiv.org/abs/2101.04898" TargetMode="External"/><Relationship Id="rId64" Type="http://schemas.openxmlformats.org/officeDocument/2006/relationships/hyperlink" Target="https://scholar.google.com/scholar?q=%22Unlearnable%20Examples%3A%20Making%20Personal%20Data%20Unexploitable%22" TargetMode="External"/><Relationship Id="rId65"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https://github.com/tamlhp/awesome-machine-unlearning" TargetMode="External"/><Relationship Id="rId2" Type="http://schemas.openxmlformats.org/officeDocument/2006/relationships/hyperlink" Target="https://arxiv.org/abs/2209.02299" TargetMode="External"/><Relationship Id="rId3" Type="http://schemas.openxmlformats.org/officeDocument/2006/relationships/hyperlink" Target="https://scholar.google.com/scholar?q=%22A%20Survey%20of%20Machine%20Unlearning%22" TargetMode="External"/><Relationship Id="rId4" Type="http://schemas.openxmlformats.org/officeDocument/2006/relationships/hyperlink" Target="https://github.com/AlonZolfi/AdversarialMask" TargetMode="External"/><Relationship Id="rId5" Type="http://schemas.openxmlformats.org/officeDocument/2006/relationships/hyperlink" Target="https://arxiv.org/abs/2111.10759" TargetMode="External"/><Relationship Id="rId6" Type="http://schemas.openxmlformats.org/officeDocument/2006/relationships/hyperlink" Target="https://scholar.google.com/scholar?q=%22Adversarial%20Mask%3A%20Real-World%20Universal%20Adversarial%20Attack%20on%20Face%20Recognition%20Models%22" TargetMode="External"/><Relationship Id="rId7" Type="http://schemas.openxmlformats.org/officeDocument/2006/relationships/hyperlink" Target="https://github.com/jinyugy21/Adv-Stickers_RHDE" TargetMode="External"/><Relationship Id="rId8" Type="http://schemas.openxmlformats.org/officeDocument/2006/relationships/hyperlink" Target="https://arxiv.org/abs/2104.06728" TargetMode="External"/><Relationship Id="rId9" Type="http://schemas.openxmlformats.org/officeDocument/2006/relationships/hyperlink" Target="https://scholar.google.com/scholar?q=%22Adversarial%20Sticker%3A%20A%20Stealthy%20Attack%20Method%20in%20the%20Physical%20World%22" TargetMode="External"/><Relationship Id="rId10" Type="http://schemas.openxmlformats.org/officeDocument/2006/relationships/hyperlink" Target="https://arxiv.org/abs/2111.12405" TargetMode="External"/><Relationship Id="rId11" Type="http://schemas.openxmlformats.org/officeDocument/2006/relationships/hyperlink" Target="https://scholar.google.com/scholar?q=%22An%20Attack%20on%20Facial%20Soft-Biometric%20Privacy%20Enhancement%22" TargetMode="External"/><Relationship Id="rId12" Type="http://schemas.openxmlformats.org/officeDocument/2006/relationships/hyperlink" Target="https://github.com/psandovalsegura/autoregressive-poisoning" TargetMode="External"/><Relationship Id="rId13" Type="http://schemas.openxmlformats.org/officeDocument/2006/relationships/hyperlink" Target="https://arxiv.org/abs/2206.03693" TargetMode="External"/><Relationship Id="rId14" Type="http://schemas.openxmlformats.org/officeDocument/2006/relationships/hyperlink" Target="https://scholar.google.com/scholar?q=%22Autoregressive%20Perturbations%20for%20Data%20Poisoning%22" TargetMode="External"/><Relationship Id="rId15" Type="http://schemas.openxmlformats.org/officeDocument/2006/relationships/hyperlink" Target="https://github.com/dayu11/Availability-Attacks-Create-Shortcuts" TargetMode="External"/><Relationship Id="rId16" Type="http://schemas.openxmlformats.org/officeDocument/2006/relationships/hyperlink" Target="https://arxiv.org/abs/2111.00898" TargetMode="External"/><Relationship Id="rId17" Type="http://schemas.openxmlformats.org/officeDocument/2006/relationships/hyperlink" Target="https://scholar.google.com/scholar?q=%22Availability%20Attacks%20Create%20Shortcuts%22" TargetMode="External"/><Relationship Id="rId18" Type="http://schemas.openxmlformats.org/officeDocument/2006/relationships/hyperlink" Target="https://github.com/ftramer/FaceCure" TargetMode="External"/><Relationship Id="rId19" Type="http://schemas.openxmlformats.org/officeDocument/2006/relationships/hyperlink" Target="https://arxiv.org/abs/2106.14851" TargetMode="External"/><Relationship Id="rId20" Type="http://schemas.openxmlformats.org/officeDocument/2006/relationships/hyperlink" Target="https://scholar.google.com/scholar?q=%22Data%20Poisoning%20Won%27t%20Save%20You%20From%20Facial%20Recognition%22" TargetMode="External"/><Relationship Id="rId21" Type="http://schemas.openxmlformats.org/officeDocument/2006/relationships/hyperlink" Target="https://arxiv.org/abs/2102.02458" TargetMode="External"/><Relationship Id="rId22" Type="http://schemas.openxmlformats.org/officeDocument/2006/relationships/hyperlink" Target="https://scholar.google.com/scholar?q=%22Deep%20Face%20Fuzzy%20Vault%3A%20Implementation%20and%20Performance%22" TargetMode="External"/><Relationship Id="rId23" Type="http://schemas.openxmlformats.org/officeDocument/2006/relationships/hyperlink" Target="https://doi.org/10.1016/j.future.2021.11.032" TargetMode="External"/><Relationship Id="rId24" Type="http://schemas.openxmlformats.org/officeDocument/2006/relationships/hyperlink" Target="https://scholar.google.com/scholar?q=%22Differentially%20Private%20Facial%20Obfuscation%20via%20Generative%20Adversarial%20Networks%22" TargetMode="External"/><Relationship Id="rId25" Type="http://schemas.openxmlformats.org/officeDocument/2006/relationships/hyperlink" Target="https://github.com/Tencent/TFace" TargetMode="External"/><Relationship Id="rId26" Type="http://schemas.openxmlformats.org/officeDocument/2006/relationships/hyperlink" Target="https://arxiv.org/abs/2207.07340" TargetMode="External"/><Relationship Id="rId27" Type="http://schemas.openxmlformats.org/officeDocument/2006/relationships/hyperlink" Target="https://scholar.google.com/scholar?q=%22DuetFace%3A%20Collaborative%20Privacy-Preserving%20Face%20Recognition%20via%20Channel%20Splitting%20in%20the%20Frequency%20Domain%22" TargetMode="External"/><Relationship Id="rId28" Type="http://schemas.openxmlformats.org/officeDocument/2006/relationships/hyperlink" Target="https://github.com/jackie840129/FedFR" TargetMode="External"/><Relationship Id="rId29" Type="http://schemas.openxmlformats.org/officeDocument/2006/relationships/hyperlink" Target="https://arxiv.org/abs/2112.12496" TargetMode="External"/><Relationship Id="rId30" Type="http://schemas.openxmlformats.org/officeDocument/2006/relationships/hyperlink" Target="https://scholar.google.com/scholar?q=%22FedFR%3A%20Joint%20Optimization%20Federated%20Framework%20for%20Generic%20and%20Personalized%20Face%20Recognition%22" TargetMode="External"/><Relationship Id="rId31" Type="http://schemas.openxmlformats.org/officeDocument/2006/relationships/hyperlink" Target="https://arxiv.org/abs/2112.07246" TargetMode="External"/><Relationship Id="rId32" Type="http://schemas.openxmlformats.org/officeDocument/2006/relationships/hyperlink" Target="https://scholar.google.com/scholar?q=%22Federated%20Learning%20for%20Face%20Recognition%20with%20Gradient%20Correction%22" TargetMode="External"/><Relationship Id="rId33" Type="http://schemas.openxmlformats.org/officeDocument/2006/relationships/hyperlink" Target="https://github.com/human-analysis/hers-encrypted-image-search" TargetMode="External"/><Relationship Id="rId34" Type="http://schemas.openxmlformats.org/officeDocument/2006/relationships/hyperlink" Target="https://arxiv.org/abs/2003.12197" TargetMode="External"/><Relationship Id="rId35" Type="http://schemas.openxmlformats.org/officeDocument/2006/relationships/hyperlink" Target="https://scholar.google.com/scholar?q=%22HERS%3A%20Homomorphically%20Encrypted%20Representation%20Search%22" TargetMode="External"/><Relationship Id="rId36" Type="http://schemas.openxmlformats.org/officeDocument/2006/relationships/hyperlink" Target="https://doi.org/10.1109/IJCB54206.2022.10007960" TargetMode="External"/><Relationship Id="rId37" Type="http://schemas.openxmlformats.org/officeDocument/2006/relationships/hyperlink" Target="https://scholar.google.com/scholar?q=%22Hybrid%20Protection%20of%20Biometric%20Templates%20by%20Combining%20Homomorphic%20Encryption%20and%20Cancelable%20Biometrics%22" TargetMode="External"/><Relationship Id="rId38" Type="http://schemas.openxmlformats.org/officeDocument/2006/relationships/hyperlink" Target="https://www.iso.org/standard/75302.html" TargetMode="External"/><Relationship Id="rId39" Type="http://schemas.openxmlformats.org/officeDocument/2006/relationships/hyperlink" Target="https://scholar.google.com/scholar?q=%22ISO/IEC%2024745%3A2022%20Information%20security%2C%20cybersecurity%20and%20privacy%20protection%3A%20Biometric%20information%20protection%22" TargetMode="External"/><Relationship Id="rId40" Type="http://schemas.openxmlformats.org/officeDocument/2006/relationships/hyperlink" Target="https://arxiv.org/abs/2103.01745" TargetMode="External"/><Relationship Id="rId41" Type="http://schemas.openxmlformats.org/officeDocument/2006/relationships/hyperlink" Target="https://scholar.google.com/scholar?q=%22IdentityDP%3A%20Differential%20Private%20Identification%20Protection%20for%20Face%20Images%22" TargetMode="External"/><Relationship Id="rId42" Type="http://schemas.openxmlformats.org/officeDocument/2006/relationships/hyperlink" Target="https://github.com/zhongyy/OPOM" TargetMode="External"/><Relationship Id="rId43" Type="http://schemas.openxmlformats.org/officeDocument/2006/relationships/hyperlink" Target="https://arxiv.org/abs/2205.11981" TargetMode="External"/><Relationship Id="rId44" Type="http://schemas.openxmlformats.org/officeDocument/2006/relationships/hyperlink" Target="https://scholar.google.com/scholar?q=%22OPOM%3A%20Customized%20Invisible%20Cloak%20towards%20Face%20Privacy%20Protection%22" TargetMode="External"/><Relationship Id="rId45" Type="http://schemas.openxmlformats.org/officeDocument/2006/relationships/hyperlink" Target="https://doi.org/10.1609/aaai.v36i3.20157" TargetMode="External"/><Relationship Id="rId46" Type="http://schemas.openxmlformats.org/officeDocument/2006/relationships/hyperlink" Target="https://scholar.google.com/scholar?q=%22Privacy-Preserving%20Face%20Recognition%20in%20the%20Frequency%20Domain%22" TargetMode="External"/><Relationship Id="rId47" Type="http://schemas.openxmlformats.org/officeDocument/2006/relationships/hyperlink" Target="https://github.com/Tencent/TFace" TargetMode="External"/><Relationship Id="rId48" Type="http://schemas.openxmlformats.org/officeDocument/2006/relationships/hyperlink" Target="https://arxiv.org/abs/2207.07316" TargetMode="External"/><Relationship Id="rId49" Type="http://schemas.openxmlformats.org/officeDocument/2006/relationships/hyperlink" Target="https://scholar.google.com/scholar?q=%22Privacy-Preserving%20Face%20Recognition%20with%20Learnable%20Privacy%20Budgets%20in%20Frequency%20Domain%22" TargetMode="External"/><Relationship Id="rId50" Type="http://schemas.openxmlformats.org/officeDocument/2006/relationships/hyperlink" Target="https://github.com/CGCL-codes/AMT-GAN" TargetMode="External"/><Relationship Id="rId51" Type="http://schemas.openxmlformats.org/officeDocument/2006/relationships/hyperlink" Target="https://arxiv.org/abs/2203.03121" TargetMode="External"/><Relationship Id="rId52" Type="http://schemas.openxmlformats.org/officeDocument/2006/relationships/hyperlink" Target="https://scholar.google.com/scholar?q=%22Protecting%20Facial%20Privacy%3A%20Generating%20Adversarial%20Identity%20Masks%20via%20Style-Robust%20Makeup%20Transfer%22" TargetMode="External"/><Relationship Id="rId53" Type="http://schemas.openxmlformats.org/officeDocument/2006/relationships/hyperlink" Target="https://github.com/fshp971/robust-unlearnable-examples" TargetMode="External"/><Relationship Id="rId54" Type="http://schemas.openxmlformats.org/officeDocument/2006/relationships/hyperlink" Target="https://arxiv.org/abs/2203.14533" TargetMode="External"/><Relationship Id="rId55" Type="http://schemas.openxmlformats.org/officeDocument/2006/relationships/hyperlink" Target="https://scholar.google.com/scholar?q=%22Robust%20Unlearnable%20Examples%3A%20Protecting%20Data%20Against%20Adversarial%20Learning%22" TargetMode="External"/><Relationship Id="rId56" Type="http://schemas.openxmlformats.org/officeDocument/2006/relationships/hyperlink" Target="https://github.com/fdbtrs/SFace-Privacy-friendly-and-Accurate-Face-Recognition-using-Synthetic-Data" TargetMode="External"/><Relationship Id="rId57" Type="http://schemas.openxmlformats.org/officeDocument/2006/relationships/hyperlink" Target="https://arxiv.org/abs/2206.10520" TargetMode="External"/><Relationship Id="rId58" Type="http://schemas.openxmlformats.org/officeDocument/2006/relationships/hyperlink" Target="https://scholar.google.com/scholar?q=%22SFace%3A%20Privacy-friendly%20and%20Accurate%20Face%20Recognition%20using%20Synthetic%20Data%22" TargetMode="External"/><Relationship Id="rId59" Type="http://schemas.openxmlformats.org/officeDocument/2006/relationships/hyperlink" Target="https://technology.idiap.ch/technologies/biometrics/polyprotect/" TargetMode="External"/><Relationship Id="rId60" Type="http://schemas.openxmlformats.org/officeDocument/2006/relationships/hyperlink" Target="https://arxiv.org/abs/2110.00434" TargetMode="External"/><Relationship Id="rId61" Type="http://schemas.openxmlformats.org/officeDocument/2006/relationships/hyperlink" Target="https://scholar.google.com/scholar?q=%22Towards%20Protecting%20Face%20Embeddings%20in%20Mobile%20Face%20Verification%20Scenarios%22" TargetMode="External"/><Relationship Id="rId62" Type="http://schemas.openxmlformats.org/officeDocument/2006/relationships/hyperlink" Target="https://doi.org/10.2478/popets-2022-0008" TargetMode="External"/><Relationship Id="rId63" Type="http://schemas.openxmlformats.org/officeDocument/2006/relationships/hyperlink" Target="https://scholar.google.com/scholar?q=%22Ulixes%3A%20Facial%20Recognition%20Privacy%20with%20Adversarial%20Machine%20Learning%22" TargetMode="External"/><Relationship Id="rId64"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hyperlink" Target="https://arxiv.org/abs/2007.07646" TargetMode="External"/><Relationship Id="rId2" Type="http://schemas.openxmlformats.org/officeDocument/2006/relationships/hyperlink" Target="https://scholar.google.com/scholar?q=%22A%20Survey%20of%20Privacy%20Attacks%20in%20Machine%20Learning%22" TargetMode="External"/><Relationship Id="rId3" Type="http://schemas.openxmlformats.org/officeDocument/2006/relationships/hyperlink" Target="https://github.com/nupurkmr9/concept-ablation" TargetMode="External"/><Relationship Id="rId4" Type="http://schemas.openxmlformats.org/officeDocument/2006/relationships/hyperlink" Target="https://arxiv.org/abs/2303.13516" TargetMode="External"/><Relationship Id="rId5" Type="http://schemas.openxmlformats.org/officeDocument/2006/relationships/hyperlink" Target="https://scholar.google.com/scholar?q=%22Ablating%20Concepts%20in%20Text-to-Image%20Diffusion%20Models%22" TargetMode="External"/><Relationship Id="rId6" Type="http://schemas.openxmlformats.org/officeDocument/2006/relationships/hyperlink" Target="https://github.com/mist-project/mist" TargetMode="External"/><Relationship Id="rId7" Type="http://schemas.openxmlformats.org/officeDocument/2006/relationships/hyperlink" Target="https://arxiv.org/abs/2302.04578" TargetMode="External"/><Relationship Id="rId8" Type="http://schemas.openxmlformats.org/officeDocument/2006/relationships/hyperlink" Target="https://scholar.google.com/scholar?q=%22Adversarial%20Example%20Does%20Good%3A%20Preventing%20Painting%20Imitation%20from%20Diffusion%20Models%20via%20Adversarial%20Examples%22" TargetMode="External"/><Relationship Id="rId9" Type="http://schemas.openxmlformats.org/officeDocument/2006/relationships/hyperlink" Target="https://github.com/VinAIResearch/Anti-DreamBooth" TargetMode="External"/><Relationship Id="rId10" Type="http://schemas.openxmlformats.org/officeDocument/2006/relationships/hyperlink" Target="https://arxiv.org/abs/2303.15433" TargetMode="External"/><Relationship Id="rId11" Type="http://schemas.openxmlformats.org/officeDocument/2006/relationships/hyperlink" Target="https://scholar.google.com/scholar?q=%22Anti-DreamBooth%3A%20Protecting%20Users%20from%20Personalized%20Text-to-Image%20Synthesis%22" TargetMode="External"/><Relationship Id="rId12" Type="http://schemas.openxmlformats.org/officeDocument/2006/relationships/hyperlink" Target="https://github.com/chi0tzp/FALCO" TargetMode="External"/><Relationship Id="rId13" Type="http://schemas.openxmlformats.org/officeDocument/2006/relationships/hyperlink" Target="https://arxiv.org/abs/2303.11296" TargetMode="External"/><Relationship Id="rId14" Type="http://schemas.openxmlformats.org/officeDocument/2006/relationships/hyperlink" Target="https://scholar.google.com/scholar?q=%22Attribute-Preserving%20Face%20Dataset%20Anonymization%20via%20Latent%20Code%20Optimization%22" TargetMode="External"/><Relationship Id="rId15" Type="http://schemas.openxmlformats.org/officeDocument/2006/relationships/hyperlink" Target="https://arxiv.org/abs/2110.05044" TargetMode="External"/><Relationship Id="rId16" Type="http://schemas.openxmlformats.org/officeDocument/2006/relationships/hyperlink" Target="https://scholar.google.com/scholar?q=%22Biometric%20Template%20Protection%20for%20Neural-Network-Based%20Face%20Recognition%20Systems%3A%20A%20Survey%20of%20Methods%20and%20Evaluation%20Techniques%22" TargetMode="External"/><Relationship Id="rId17" Type="http://schemas.openxmlformats.org/officeDocument/2006/relationships/hyperlink" Target="https://arxiv.org/abs/2303.11570" TargetMode="External"/><Relationship Id="rId18" Type="http://schemas.openxmlformats.org/officeDocument/2006/relationships/hyperlink" Target="https://scholar.google.com/scholar?q=%22Boundary%20Unlearning%3A%20Rapid%20Forgetting%20of%20Deep%20Networks%20via%20Shifting%20the%20Decision%20Boundary%22" TargetMode="External"/><Relationship Id="rId19" Type="http://schemas.openxmlformats.org/officeDocument/2006/relationships/hyperlink" Target="https://github.com/fahadshamshad/Clip2Protect" TargetMode="External"/><Relationship Id="rId20" Type="http://schemas.openxmlformats.org/officeDocument/2006/relationships/hyperlink" Target="https://arxiv.org/abs/2306.10008" TargetMode="External"/><Relationship Id="rId21" Type="http://schemas.openxmlformats.org/officeDocument/2006/relationships/hyperlink" Target="https://scholar.google.com/scholar?q=%22CLIP2Protect%3A%20Protecting%20Facial%20Privacy%20using%20Text-Guided%20Makeup%20via%20Adversarial%20Latent%20Search%22" TargetMode="External"/><Relationship Id="rId22" Type="http://schemas.openxmlformats.org/officeDocument/2006/relationships/hyperlink" Target="https://github.com/vinusankars/Convolution-based-Unlearnability" TargetMode="External"/><Relationship Id="rId23" Type="http://schemas.openxmlformats.org/officeDocument/2006/relationships/hyperlink" Target="https://arxiv.org/abs/2303.04278" TargetMode="External"/><Relationship Id="rId24" Type="http://schemas.openxmlformats.org/officeDocument/2006/relationships/hyperlink" Target="https://scholar.google.com/scholar?q=%22CUDA%3A%20Convolution-based%20Unlearnable%20Datasets%22" TargetMode="External"/><Relationship Id="rId25" Type="http://schemas.openxmlformats.org/officeDocument/2006/relationships/hyperlink" Target="https://github.com/vikram2000b/bad-teaching-unlearning" TargetMode="External"/><Relationship Id="rId26" Type="http://schemas.openxmlformats.org/officeDocument/2006/relationships/hyperlink" Target="https://arxiv.org/abs/2205.08096" TargetMode="External"/><Relationship Id="rId27" Type="http://schemas.openxmlformats.org/officeDocument/2006/relationships/hyperlink" Target="https://scholar.google.com/scholar?q=%22Can%20Bad%20Teaching%20Induce%20Forgetting%3F%20Unlearning%20in%20Deep%20Networks%20Using%20an%20Incompetent%20Teacher%22" TargetMode="External"/><Relationship Id="rId28" Type="http://schemas.openxmlformats.org/officeDocument/2006/relationships/hyperlink" Target="https://doi.org/10.1109/TPAMI.2023.3312123" TargetMode="External"/><Relationship Id="rId29" Type="http://schemas.openxmlformats.org/officeDocument/2006/relationships/hyperlink" Target="https://scholar.google.com/scholar?q=%22Comprehensive%20Vulnerability%20Evaluation%20of%20Face%20Recognition%20Systems%20to%20Template%20Inversion%20Attacks%20via%203D%20Face%20Reconstruction%22" TargetMode="External"/><Relationship Id="rId30" Type="http://schemas.openxmlformats.org/officeDocument/2006/relationships/hyperlink" Target="https://github.com/mk-minchul/dcface" TargetMode="External"/><Relationship Id="rId31" Type="http://schemas.openxmlformats.org/officeDocument/2006/relationships/hyperlink" Target="https://arxiv.org/abs/2304.07060" TargetMode="External"/><Relationship Id="rId32" Type="http://schemas.openxmlformats.org/officeDocument/2006/relationships/hyperlink" Target="https://scholar.google.com/scholar?q=%22DCFace%3A%20Synthetic%20Face%20Generation%20with%20Dual%20Condition%20Diffusion%20Model%22" TargetMode="External"/><Relationship Id="rId33" Type="http://schemas.openxmlformats.org/officeDocument/2006/relationships/hyperlink" Target="https://github.com/hukkelas/deep_privacy2" TargetMode="External"/><Relationship Id="rId34" Type="http://schemas.openxmlformats.org/officeDocument/2006/relationships/hyperlink" Target="https://arxiv.org/abs/2211.09454" TargetMode="External"/><Relationship Id="rId35" Type="http://schemas.openxmlformats.org/officeDocument/2006/relationships/hyperlink" Target="https://scholar.google.com/scholar?q=%22DeepPrivacy2%3A%20Towards%20Realistic%20Full-Body%20Anonymization%22" TargetMode="External"/><Relationship Id="rId36" Type="http://schemas.openxmlformats.org/officeDocument/2006/relationships/hyperlink" Target="https://github.com/nv-tlabs/DP-Diffusion" TargetMode="External"/><Relationship Id="rId37" Type="http://schemas.openxmlformats.org/officeDocument/2006/relationships/hyperlink" Target="https://arxiv.org/abs/2210.09929" TargetMode="External"/><Relationship Id="rId38" Type="http://schemas.openxmlformats.org/officeDocument/2006/relationships/hyperlink" Target="https://scholar.google.com/scholar?q=%22Differentially%20Private%20Diffusion%20Models%22" TargetMode="External"/><Relationship Id="rId39" Type="http://schemas.openxmlformats.org/officeDocument/2006/relationships/hyperlink" Target="https://arxiv.org/abs/2302.13861" TargetMode="External"/><Relationship Id="rId40" Type="http://schemas.openxmlformats.org/officeDocument/2006/relationships/hyperlink" Target="https://scholar.google.com/scholar?q=%22Differentially%20Private%20Diffusion%20Models%20Generate%20Useful%20Synthetic%20Images%22" TargetMode="External"/><Relationship Id="rId41" Type="http://schemas.openxmlformats.org/officeDocument/2006/relationships/hyperlink" Target="https://github.com/microsoft/DigiFace1M" TargetMode="External"/><Relationship Id="rId42" Type="http://schemas.openxmlformats.org/officeDocument/2006/relationships/hyperlink" Target="https://arxiv.org/abs/2210.02579" TargetMode="External"/><Relationship Id="rId43" Type="http://schemas.openxmlformats.org/officeDocument/2006/relationships/hyperlink" Target="https://scholar.google.com/scholar?q=%22DigiFace-1M%3A%201%20Million%20Digital%20Face%20Images%20for%20Face%20Recognition%22" TargetMode="External"/><Relationship Id="rId44" Type="http://schemas.openxmlformats.org/officeDocument/2006/relationships/hyperlink" Target="https://openaccess.thecvf.com/content/ICCV2023/html/Wen_Divide_and_Conquer_a_Two-Step_Method_for_High_Quality_Face_ICCV_2023_paper.html" TargetMode="External"/><Relationship Id="rId45" Type="http://schemas.openxmlformats.org/officeDocument/2006/relationships/hyperlink" Target="https://scholar.google.com/scholar?q=%22Divide%20and%20Conquer%3A%20a%20Two-Step%20Method%20for%20High%20Quality%20Face%20De-Identification%20with%20Model%20Explainability%22" TargetMode="External"/><Relationship Id="rId46" Type="http://schemas.openxmlformats.org/officeDocument/2006/relationships/hyperlink" Target="https://github.com/hukkelas/deep_privacy2" TargetMode="External"/><Relationship Id="rId47" Type="http://schemas.openxmlformats.org/officeDocument/2006/relationships/hyperlink" Target="https://arxiv.org/abs/2306.05135" TargetMode="External"/><Relationship Id="rId48" Type="http://schemas.openxmlformats.org/officeDocument/2006/relationships/hyperlink" Target="https://scholar.google.com/scholar?q=%22Does%20Image%20Anonymization%20Impact%20Computer%20Vision%20Training%3F%22" TargetMode="External"/><Relationship Id="rId49" Type="http://schemas.openxmlformats.org/officeDocument/2006/relationships/hyperlink" Target="https://github.com/rohitgandikota/erasing" TargetMode="External"/><Relationship Id="rId50" Type="http://schemas.openxmlformats.org/officeDocument/2006/relationships/hyperlink" Target="https://arxiv.org/abs/2303.07345" TargetMode="External"/><Relationship Id="rId51" Type="http://schemas.openxmlformats.org/officeDocument/2006/relationships/hyperlink" Target="https://scholar.google.com/scholar?q=%22Erasing%20Concepts%20from%20Diffusion%20Models%22" TargetMode="External"/><Relationship Id="rId52" Type="http://schemas.openxmlformats.org/officeDocument/2006/relationships/hyperlink" Target="https://github.com/MinChen00/Face-Auditor" TargetMode="External"/><Relationship Id="rId53" Type="http://schemas.openxmlformats.org/officeDocument/2006/relationships/hyperlink" Target="https://arxiv.org/abs/2304.02782" TargetMode="External"/><Relationship Id="rId54" Type="http://schemas.openxmlformats.org/officeDocument/2006/relationships/hyperlink" Target="https://scholar.google.com/scholar?q=%22FACE-AUDITOR%3A%20Data%20Auditing%20in%20Facial%20Recognition%20Systems%22" TargetMode="External"/><Relationship Id="rId55" Type="http://schemas.openxmlformats.org/officeDocument/2006/relationships/hyperlink" Target="https://arxiv.org/abs/2309.04228" TargetMode="External"/><Relationship Id="rId56" Type="http://schemas.openxmlformats.org/officeDocument/2006/relationships/hyperlink" Target="https://scholar.google.com/scholar?q=%22FIVA%3A%20Facial%20Image%20and%20Video%20Anonymization%20and%20Anonymization%20Defense%22" TargetMode="External"/><Relationship Id="rId57" Type="http://schemas.openxmlformats.org/officeDocument/2006/relationships/hyperlink" Target="https://proceedings.neurips.cc/paper_files/paper/2023/hash/29e4b51d45dc8f534260adc45b587363-Abstract-Conference.html" TargetMode="External"/><Relationship Id="rId58" Type="http://schemas.openxmlformats.org/officeDocument/2006/relationships/hyperlink" Target="https://scholar.google.com/scholar?q=%22Face%20Reconstruction%20from%20Facial%20Templates%20by%20Learning%20Latent%20Space%20of%20a%20Generator%20Network%22" TargetMode="External"/><Relationship Id="rId59" Type="http://schemas.openxmlformats.org/officeDocument/2006/relationships/hyperlink" Target="https://arxiv.org/abs/2302.04222" TargetMode="External"/><Relationship Id="rId60" Type="http://schemas.openxmlformats.org/officeDocument/2006/relationships/hyperlink" Target="https://scholar.google.com/scholar?q=%22Glaze%3A%20Protecting%20Artists%20from%20Style%20Mimicry%20by%20Text-to-Image%20Models%22" TargetMode="External"/><Relationship Id="rId61" Type="http://schemas.openxmlformats.org/officeDocument/2006/relationships/hyperlink" Target="https://github.com/fdbtrs/IDiff-Face" TargetMode="External"/><Relationship Id="rId62" Type="http://schemas.openxmlformats.org/officeDocument/2006/relationships/hyperlink" Target="https://arxiv.org/abs/2308.04995" TargetMode="External"/><Relationship Id="rId63" Type="http://schemas.openxmlformats.org/officeDocument/2006/relationships/hyperlink" Target="https://scholar.google.com/scholar?q=%22IDiff-Face%3A%20Synthetic-based%20Face%20Recognition%20through%20Fuzzy%20Identity-Conditioned%20Diffusion%20Models%22" TargetMode="External"/><Relationship Id="rId64" Type="http://schemas.openxmlformats.org/officeDocument/2006/relationships/hyperlink" Target="https://arxiv.org/abs/2310.19248" TargetMode="External"/><Relationship Id="rId65" Type="http://schemas.openxmlformats.org/officeDocument/2006/relationships/hyperlink" Target="https://scholar.google.com/scholar?q=%22IMPRESS%3A%20Evaluating%20the%20Resilience%20of%20Imperceptible%20Perturbations%20Against%20Unauthorized%20Data%20Usage%20in%20Diffusion-Based%20Generative%20AI%22" TargetMode="External"/><Relationship Id="rId66" Type="http://schemas.openxmlformats.org/officeDocument/2006/relationships/hyperlink" Target="https://github.com/liuzrcc/ImageShortcutSqueezing" TargetMode="External"/><Relationship Id="rId67" Type="http://schemas.openxmlformats.org/officeDocument/2006/relationships/hyperlink" Target="https://arxiv.org/abs/2301.13838" TargetMode="External"/><Relationship Id="rId68" Type="http://schemas.openxmlformats.org/officeDocument/2006/relationships/hyperlink" Target="https://scholar.google.com/scholar?q=%22Image%20Shortcut%20Squeezing%3A%20Countering%20Perturbative%20Availability%20Poisons%20with%20Compression%22" TargetMode="External"/><Relationship Id="rId69" Type="http://schemas.openxmlformats.org/officeDocument/2006/relationships/hyperlink" Target="https://arxiv.org/abs/2302.08931" TargetMode="External"/><Relationship Id="rId70" Type="http://schemas.openxmlformats.org/officeDocument/2006/relationships/hyperlink" Target="https://scholar.google.com/scholar?q=%22LDFA%3A%20Latent%20Diffusion%20Face%20Anonymization%20for%20Self-Driving%20Applications%22" TargetMode="External"/><Relationship Id="rId71" Type="http://schemas.openxmlformats.org/officeDocument/2006/relationships/hyperlink" Target="https://arxiv.org/abs/2301.02516" TargetMode="External"/><Relationship Id="rId72" Type="http://schemas.openxmlformats.org/officeDocument/2006/relationships/hyperlink" Target="https://scholar.google.com/scholar?q=%22Multi-IVE%3A%20Privacy%20Enhancement%20of%20Multiple%20Soft-Biometrics%20in%20Face%20Embeddings%22" TargetMode="External"/><Relationship Id="rId73" Type="http://schemas.openxmlformats.org/officeDocument/2006/relationships/hyperlink" Target="https://arxiv.org/abs/2211.01361" TargetMode="External"/><Relationship Id="rId74" Type="http://schemas.openxmlformats.org/officeDocument/2006/relationships/hyperlink" Target="https://scholar.google.com/scholar?q=%22My%20Face%20My%20Choice%3A%20Privacy%20Enhancing%20Deepfakes%20for%20Social%20Media%20Anonymization%22" TargetMode="External"/><Relationship Id="rId75" Type="http://schemas.openxmlformats.org/officeDocument/2006/relationships/hyperlink" Target="https://github.com/cychomatica/One-Pixel-Shotcut" TargetMode="External"/><Relationship Id="rId76" Type="http://schemas.openxmlformats.org/officeDocument/2006/relationships/hyperlink" Target="https://arxiv.org/abs/2205.12141" TargetMode="External"/><Relationship Id="rId77" Type="http://schemas.openxmlformats.org/officeDocument/2006/relationships/hyperlink" Target="https://scholar.google.com/scholar?q=%22One-Pixel%20Shortcut%3A%20On%20the%20Learning%20Preference%20of%20Deep%20Neural%20Networks%22" TargetMode="External"/><Relationship Id="rId78" Type="http://schemas.openxmlformats.org/officeDocument/2006/relationships/hyperlink" Target="https://github.com/Tencent/TFace" TargetMode="External"/><Relationship Id="rId79" Type="http://schemas.openxmlformats.org/officeDocument/2006/relationships/hyperlink" Target="https://arxiv.org/abs/2308.10461" TargetMode="External"/><Relationship Id="rId80" Type="http://schemas.openxmlformats.org/officeDocument/2006/relationships/hyperlink" Target="https://scholar.google.com/scholar?q=%22Privacy-Preserving%20Face%20Recognition%20Using%20Random%20Frequency%20Components%22" TargetMode="External"/><Relationship Id="rId81" Type="http://schemas.openxmlformats.org/officeDocument/2006/relationships/hyperlink" Target="https://github.com/MadryLab/photoguard" TargetMode="External"/><Relationship Id="rId82" Type="http://schemas.openxmlformats.org/officeDocument/2006/relationships/hyperlink" Target="https://arxiv.org/abs/2302.06588" TargetMode="External"/><Relationship Id="rId83" Type="http://schemas.openxmlformats.org/officeDocument/2006/relationships/hyperlink" Target="https://scholar.google.com/scholar?q=%22Raising%20the%20Cost%20of%20Malicious%20AI-Powered%20Image%20Editing%22" TargetMode="External"/><Relationship Id="rId84" Type="http://schemas.openxmlformats.org/officeDocument/2006/relationships/hyperlink" Target="https://github.com/DongzeLi-CASIA/RiDDLE" TargetMode="External"/><Relationship Id="rId85" Type="http://schemas.openxmlformats.org/officeDocument/2006/relationships/hyperlink" Target="https://arxiv.org/abs/2303.05171" TargetMode="External"/><Relationship Id="rId86" Type="http://schemas.openxmlformats.org/officeDocument/2006/relationships/hyperlink" Target="https://scholar.google.com/scholar?q=%22RiDDLE%3A%20Reversible%20and%20Diversified%20De-identification%20with%20Latent%20Encryptor%22" TargetMode="External"/><Relationship Id="rId87" Type="http://schemas.openxmlformats.org/officeDocument/2006/relationships/hyperlink" Target="https://github.com/clear-nus/selective-amnesia" TargetMode="External"/><Relationship Id="rId88" Type="http://schemas.openxmlformats.org/officeDocument/2006/relationships/hyperlink" Target="https://arxiv.org/abs/2305.10120" TargetMode="External"/><Relationship Id="rId89" Type="http://schemas.openxmlformats.org/officeDocument/2006/relationships/hyperlink" Target="https://scholar.google.com/scholar?q=%22Selective%20Amnesia%3A%20A%20Continual%20Learning%20Approach%20to%20Forgetting%20in%20Deep%20Generative%20Models%22" TargetMode="External"/><Relationship Id="rId90" Type="http://schemas.openxmlformats.org/officeDocument/2006/relationships/hyperlink" Target="https://arxiv.org/abs/2112.04558" TargetMode="External"/><Relationship Id="rId91" Type="http://schemas.openxmlformats.org/officeDocument/2006/relationships/hyperlink" Target="https://scholar.google.com/scholar?q=%22SoK%3A%20Anti-Facial%20Recognition%20Technology%22" TargetMode="External"/><Relationship Id="rId92" Type="http://schemas.openxmlformats.org/officeDocument/2006/relationships/hyperlink" Target="https://arxiv.org/abs/2305.01021" TargetMode="External"/><Relationship Id="rId93" Type="http://schemas.openxmlformats.org/officeDocument/2006/relationships/hyperlink" Target="https://scholar.google.com/scholar?q=%22Synthetic%20Data%20for%20Face%20Recognition%3A%20Current%20State%20and%20Future%20Prospects%22" TargetMode="External"/><Relationship Id="rId94" Type="http://schemas.openxmlformats.org/officeDocument/2006/relationships/hyperlink" Target="https://github.com/meghdadk/SCRUB" TargetMode="External"/><Relationship Id="rId95" Type="http://schemas.openxmlformats.org/officeDocument/2006/relationships/hyperlink" Target="https://arxiv.org/abs/2302.09880" TargetMode="External"/><Relationship Id="rId96" Type="http://schemas.openxmlformats.org/officeDocument/2006/relationships/hyperlink" Target="https://scholar.google.com/scholar?q=%22Towards%20Unbounded%20Machine%20Unlearning%22" TargetMode="External"/><Relationship Id="rId97" Type="http://schemas.openxmlformats.org/officeDocument/2006/relationships/hyperlink" Target="https://arxiv.org/abs/2210.10114" TargetMode="External"/><Relationship Id="rId98" Type="http://schemas.openxmlformats.org/officeDocument/2006/relationships/hyperlink" Target="https://scholar.google.com/scholar?q=%22Transferable%20Unlearnable%20Examples%22" TargetMode="External"/><Relationship Id="rId99" Type="http://schemas.openxmlformats.org/officeDocument/2006/relationships/hyperlink" Target="https://github.com/jiamingzhang94/Unlearnable-Clusters" TargetMode="External"/><Relationship Id="rId100" Type="http://schemas.openxmlformats.org/officeDocument/2006/relationships/hyperlink" Target="https://arxiv.org/abs/2301.01217" TargetMode="External"/><Relationship Id="rId101" Type="http://schemas.openxmlformats.org/officeDocument/2006/relationships/hyperlink" Target="https://scholar.google.com/scholar?q=%22Unlearnable%20Clusters%3A%20Towards%20Label-Agnostic%20Unlearnable%20Examples%22" TargetMode="External"/><Relationship Id="rId102" Type="http://schemas.openxmlformats.org/officeDocument/2006/relationships/hyperlink" Target="https://www.penguinrandomhouse.com/books/705578/your-face-belongs-to-us-by-kashmir-hill/" TargetMode="External"/><Relationship Id="rId103" Type="http://schemas.openxmlformats.org/officeDocument/2006/relationships/hyperlink" Target="https://scholar.google.com/scholar?q=%22Your%20Face%20Belongs%20to%20Us%3A%20A%20Secretive%20Startup%27s%20Quest%20to%20End%20Privacy%20as%20We%20Know%20It%22" TargetMode="External"/><Relationship Id="rId104" Type="http://schemas.openxmlformats.org/officeDocument/2006/relationships/hyperlink" Target="https://arxiv.org/abs/2201.05629" TargetMode="External"/><Relationship Id="rId105" Type="http://schemas.openxmlformats.org/officeDocument/2006/relationships/hyperlink" Target="https://scholar.google.com/scholar?q=%22Zero-Shot%20Machine%20Unlearning%22" TargetMode="External"/><Relationship Id="rId106"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hyperlink" Target="https://github.com/foivospar/Arc2Face" TargetMode="External"/><Relationship Id="rId2" Type="http://schemas.openxmlformats.org/officeDocument/2006/relationships/hyperlink" Target="https://arxiv.org/abs/2403.11641" TargetMode="External"/><Relationship Id="rId3" Type="http://schemas.openxmlformats.org/officeDocument/2006/relationships/hyperlink" Target="https://scholar.google.com/scholar?q=%22Arc2Face%3A%20A%20Foundation%20Model%20for%20ID-Consistent%20Human%20Faces%22" TargetMode="External"/><Relationship Id="rId4" Type="http://schemas.openxmlformats.org/officeDocument/2006/relationships/hyperlink" Target="https://github.com/ZhengyueZhao/GrIDPure" TargetMode="External"/><Relationship Id="rId5" Type="http://schemas.openxmlformats.org/officeDocument/2006/relationships/hyperlink" Target="https://arxiv.org/abs/2312.00084" TargetMode="External"/><Relationship Id="rId6" Type="http://schemas.openxmlformats.org/officeDocument/2006/relationships/hyperlink" Target="https://scholar.google.com/scholar?q=%22Can%20Protective%20Perturbation%20Safeguard%20Personal%20Data%20from%20Being%20Exploited%20by%20Stable%20Diffusion%3F%22" TargetMode="External"/><Relationship Id="rId7" Type="http://schemas.openxmlformats.org/officeDocument/2006/relationships/hyperlink" Target="https://github.com/HansSunY/DiffAM" TargetMode="External"/><Relationship Id="rId8" Type="http://schemas.openxmlformats.org/officeDocument/2006/relationships/hyperlink" Target="https://arxiv.org/abs/2405.09882" TargetMode="External"/><Relationship Id="rId9" Type="http://schemas.openxmlformats.org/officeDocument/2006/relationships/hyperlink" Target="https://scholar.google.com/scholar?q=%22DiffAM%3A%20Diffusion-based%20Adversarial%20Makeup%20Transfer%20for%20Facial%20Privacy%20Protection%22" TargetMode="External"/><Relationship Id="rId10" Type="http://schemas.openxmlformats.org/officeDocument/2006/relationships/hyperlink" Target="https://arxiv.org/abs/2303.13269" TargetMode="External"/><Relationship Id="rId11" Type="http://schemas.openxmlformats.org/officeDocument/2006/relationships/hyperlink" Target="https://scholar.google.com/scholar?q=%22Disguise%20without%20Disruption%3A%20Utility-Preserving%20Face%20De-Identification%22" TargetMode="External"/><Relationship Id="rId12" Type="http://schemas.openxmlformats.org/officeDocument/2006/relationships/hyperlink" Target="https://arxiv.org/abs/2411.16832" TargetMode="External"/><Relationship Id="rId13" Type="http://schemas.openxmlformats.org/officeDocument/2006/relationships/hyperlink" Target="https://scholar.google.com/scholar?q=%22Edit%20Away%20and%20My%20Face%20Will%20Not%20Stay%3A%20Personal%20Biometric%20Defense%20against%20Malicious%20Generative%20Editing%22" TargetMode="External"/><Relationship Id="rId14" Type="http://schemas.openxmlformats.org/officeDocument/2006/relationships/hyperlink" Target="https://arxiv.org/abs/2311.10476" TargetMode="External"/><Relationship Id="rId15" Type="http://schemas.openxmlformats.org/officeDocument/2006/relationships/hyperlink" Target="https://scholar.google.com/scholar?q=%22FRCSyn%20Challenge%20at%20WACV%202024%3A%20Face%20Recognition%20Challenge%20in%20the%20Era%20of%20Synthetic%20Data%22" TargetMode="External"/><Relationship Id="rId16" Type="http://schemas.openxmlformats.org/officeDocument/2006/relationships/hyperlink" Target="https://arxiv.org/abs/2411.09863" TargetMode="External"/><Relationship Id="rId17" Type="http://schemas.openxmlformats.org/officeDocument/2006/relationships/hyperlink" Target="https://scholar.google.com/scholar?q=%22Face%20De-identification%3A%20State-of-the-art%20Methods%20and%20Comparative%20Studies%22" TargetMode="External"/><Relationship Id="rId18" Type="http://schemas.openxmlformats.org/officeDocument/2006/relationships/hyperlink" Target="https://arxiv.org/abs/2406.17219" TargetMode="External"/><Relationship Id="rId19" Type="http://schemas.openxmlformats.org/officeDocument/2006/relationships/hyperlink" Target="https://scholar.google.com/scholar?q=%22Facial%20Identity%20Anonymization%20via%20Intrinsic%20and%20Extrinsic%20Attention%20Distraction%22" TargetMode="External"/><Relationship Id="rId20" Type="http://schemas.openxmlformats.org/officeDocument/2006/relationships/hyperlink" Target="https://arxiv.org/abs/2210.10651" TargetMode="External"/><Relationship Id="rId21" Type="http://schemas.openxmlformats.org/officeDocument/2006/relationships/hyperlink" Target="https://scholar.google.com/scholar?q=%22Fant&#244;mas%3A%20Understanding%20Face%20Anonymization%20Reversibility%22" TargetMode="External"/><Relationship Id="rId22" Type="http://schemas.openxmlformats.org/officeDocument/2006/relationships/hyperlink" Target="https://github.com/SHI-Labs/Forget-Me-Not" TargetMode="External"/><Relationship Id="rId23" Type="http://schemas.openxmlformats.org/officeDocument/2006/relationships/hyperlink" Target="https://arxiv.org/abs/2303.17591" TargetMode="External"/><Relationship Id="rId24" Type="http://schemas.openxmlformats.org/officeDocument/2006/relationships/hyperlink" Target="https://scholar.google.com/scholar?q=%22Forget-Me-Not%3A%20Learning%20to%20Forget%20in%20Text-to-Image%20Diffusion%20Models%22" TargetMode="External"/><Relationship Id="rId25" Type="http://schemas.openxmlformats.org/officeDocument/2006/relationships/hyperlink" Target="https://github.com/Harxis/G2Face" TargetMode="External"/><Relationship Id="rId26" Type="http://schemas.openxmlformats.org/officeDocument/2006/relationships/hyperlink" Target="https://arxiv.org/abs/2408.09458" TargetMode="External"/><Relationship Id="rId27" Type="http://schemas.openxmlformats.org/officeDocument/2006/relationships/hyperlink" Target="https://scholar.google.com/scholar?q=%22G2Face%3A%20High-Fidelity%20Reversible%20Face%20Anonymization%20via%20Generative%20and%20Geometric%20Priors%22" TargetMode="External"/><Relationship Id="rId28" Type="http://schemas.openxmlformats.org/officeDocument/2006/relationships/hyperlink" Target="https://github.com/hcmlab/GANonymization" TargetMode="External"/><Relationship Id="rId29" Type="http://schemas.openxmlformats.org/officeDocument/2006/relationships/hyperlink" Target="https://arxiv.org/abs/2305.02143" TargetMode="External"/><Relationship Id="rId30" Type="http://schemas.openxmlformats.org/officeDocument/2006/relationships/hyperlink" Target="https://scholar.google.com/scholar?q=%22GANonymization%3A%20A%20GAN-based%20Face%20Anonymization%20Framework%20for%20Preserving%20Emotional%20Expressions%22" TargetMode="External"/><Relationship Id="rId31" Type="http://schemas.openxmlformats.org/officeDocument/2006/relationships/hyperlink" Target="https://github.com/JJuOn/GUIDE" TargetMode="External"/><Relationship Id="rId32" Type="http://schemas.openxmlformats.org/officeDocument/2006/relationships/hyperlink" Target="https://arxiv.org/abs/2405.09879" TargetMode="External"/><Relationship Id="rId33" Type="http://schemas.openxmlformats.org/officeDocument/2006/relationships/hyperlink" Target="https://scholar.google.com/scholar?q=%22Generative%20Unlearning%20for%20Any%20Identity%22" TargetMode="External"/><Relationship Id="rId34" Type="http://schemas.openxmlformats.org/officeDocument/2006/relationships/hyperlink" Target="https://arxiv.org/abs/2402.09225" TargetMode="External"/><Relationship Id="rId35" Type="http://schemas.openxmlformats.org/officeDocument/2006/relationships/hyperlink" Target="https://scholar.google.com/scholar?q=%22Is%20My%20Data%20in%20Your%20AI%20Model%3F%20Membership%20Inference%20Test%20with%20Application%20to%20Face%20Images%22" TargetMode="External"/><Relationship Id="rId36" Type="http://schemas.openxmlformats.org/officeDocument/2006/relationships/hyperlink" Target="https://arxiv.org/abs/2403.14790" TargetMode="External"/><Relationship Id="rId37" Type="http://schemas.openxmlformats.org/officeDocument/2006/relationships/hyperlink" Target="https://scholar.google.com/scholar?q=%22Latent%20Diffusion%20Models%20for%20Attribute-Preserving%20Image%20Anonymization%22" TargetMode="External"/><Relationship Id="rId38" Type="http://schemas.openxmlformats.org/officeDocument/2006/relationships/hyperlink" Target="https://github.com/daizigege/CanFG" TargetMode="External"/><Relationship Id="rId39" Type="http://schemas.openxmlformats.org/officeDocument/2006/relationships/hyperlink" Target="https://doi.org/10.1145/3664647.3680704" TargetMode="External"/><Relationship Id="rId40" Type="http://schemas.openxmlformats.org/officeDocument/2006/relationships/hyperlink" Target="https://scholar.google.com/scholar?q=%22Make%20Privacy%20Renewable%21%20Generating%20Privacy-Preserving%20Faces%20Supporting%20Cancelable%20Biometric%20Recognition%22" TargetMode="External"/><Relationship Id="rId41" Type="http://schemas.openxmlformats.org/officeDocument/2006/relationships/hyperlink" Target="https://github.com/liuyixin-louis/MetaCloak" TargetMode="External"/><Relationship Id="rId42" Type="http://schemas.openxmlformats.org/officeDocument/2006/relationships/hyperlink" Target="https://arxiv.org/abs/2311.13127" TargetMode="External"/><Relationship Id="rId43" Type="http://schemas.openxmlformats.org/officeDocument/2006/relationships/hyperlink" Target="https://scholar.google.com/scholar?q=%22MetaCloak%3A%20Preventing%20Unauthorized%20Subject-Driven%20Text-to-Image%20Diffusion-Based%20Synthesis%20via%20Meta-Learning%22" TargetMode="External"/><Relationship Id="rId44" Type="http://schemas.openxmlformats.org/officeDocument/2006/relationships/hyperlink" Target="https://arxiv.org/abs/2310.13828" TargetMode="External"/><Relationship Id="rId45" Type="http://schemas.openxmlformats.org/officeDocument/2006/relationships/hyperlink" Target="https://scholar.google.com/scholar?q=%22Nightshade%3A%20Prompt-Specific%20Poisoning%20Attacks%20on%20Text-to-Image%20Generative%20Models%22" TargetMode="External"/><Relationship Id="rId46" Type="http://schemas.openxmlformats.org/officeDocument/2006/relationships/hyperlink" Target="https://arxiv.org/abs/2407.13975" TargetMode="External"/><Relationship Id="rId47" Type="http://schemas.openxmlformats.org/officeDocument/2006/relationships/hyperlink" Target="https://scholar.google.com/scholar?q=%22Personalized%20Privacy%20Protection%20Mask%20Against%20Unauthorized%20Facial%20Recognition%22" TargetMode="External"/><Relationship Id="rId48" Type="http://schemas.openxmlformats.org/officeDocument/2006/relationships/hyperlink" Target="https://arxiv.org/abs/2404.15081" TargetMode="External"/><Relationship Id="rId49" Type="http://schemas.openxmlformats.org/officeDocument/2006/relationships/hyperlink" Target="https://scholar.google.com/scholar?q=%22Perturbing%20Attention%20Gives%20You%20More%20Bang%20for%20the%20Buck%3A%20Subtle%20Imaging%20Perturbations%20That%20Efficiently%20Fool%20Customized%20Diffusion%20Models%22" TargetMode="External"/><Relationship Id="rId50" Type="http://schemas.openxmlformats.org/officeDocument/2006/relationships/hyperlink" Target="https://github.com/Tencent/TFace" TargetMode="External"/><Relationship Id="rId51" Type="http://schemas.openxmlformats.org/officeDocument/2006/relationships/hyperlink" Target="https://openaccess.thecvf.com/content/CVPR2024/html/Mi_Privacy-Preserving_Face_Recognition_Using_Trainable_Feature_Subtraction_CVPR_2024_paper.html" TargetMode="External"/><Relationship Id="rId52" Type="http://schemas.openxmlformats.org/officeDocument/2006/relationships/hyperlink" Target="https://scholar.google.com/scholar?q=%22Privacy-Preserving%20Face%20Recognition%20Using%20Trainable%20Feature%20Subtraction%22" TargetMode="External"/><Relationship Id="rId53" Type="http://schemas.openxmlformats.org/officeDocument/2006/relationships/hyperlink" Target="https://github.com/OPTML-Group/Unlearn-Saliency" TargetMode="External"/><Relationship Id="rId54" Type="http://schemas.openxmlformats.org/officeDocument/2006/relationships/hyperlink" Target="https://arxiv.org/abs/2310.12508" TargetMode="External"/><Relationship Id="rId55" Type="http://schemas.openxmlformats.org/officeDocument/2006/relationships/hyperlink" Target="https://scholar.google.com/scholar?q=%22SalUn%3A%20Empowering%20Machine%20Unlearning%20via%20Gradient-Based%20Weight%20Saliency%20in%20Both%20Image%20Classification%20and%20Generation%22" TargetMode="External"/><Relationship Id="rId56" Type="http://schemas.openxmlformats.org/officeDocument/2006/relationships/hyperlink" Target="https://github.com/somuchtome/SimAC" TargetMode="External"/><Relationship Id="rId57" Type="http://schemas.openxmlformats.org/officeDocument/2006/relationships/hyperlink" Target="https://arxiv.org/abs/2312.07865" TargetMode="External"/><Relationship Id="rId58" Type="http://schemas.openxmlformats.org/officeDocument/2006/relationships/hyperlink" Target="https://scholar.google.com/scholar?q=%22SimAC%3A%20A%20Simple%20Anti-Customization%20Method%20for%20Protecting%20Face%20Privacy%20against%20Text-to-Image%20Synthesis%20of%20Diffusion%20Models%22" TargetMode="External"/><Relationship Id="rId59" Type="http://schemas.openxmlformats.org/officeDocument/2006/relationships/hyperlink" Target="https://arxiv.org/abs/2303.08500" TargetMode="External"/><Relationship Id="rId60" Type="http://schemas.openxmlformats.org/officeDocument/2006/relationships/hyperlink" Target="https://scholar.google.com/scholar?q=%22The%20Devil%27s%20Advocate%3A%20Shattering%20the%20Illusion%20of%20Unexploitable%20Data%20using%20Diffusion%20Models%22" TargetMode="External"/><Relationship Id="rId61" Type="http://schemas.openxmlformats.org/officeDocument/2006/relationships/hyperlink" Target="https://doi.org/10.1109/TIFS.2024.3381820" TargetMode="External"/><Relationship Id="rId62" Type="http://schemas.openxmlformats.org/officeDocument/2006/relationships/hyperlink" Target="https://scholar.google.com/scholar?q=%22Vulnerability%20of%20State-of-the-Art%20Face%20Recognition%20Models%20to%20Template%20Inversion%20Attack%22" TargetMode="External"/><Relationship Id="rId63"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hyperlink" Target="https://github.com/ethz-spylab/robust-style-mimicry" TargetMode="External"/><Relationship Id="rId2" Type="http://schemas.openxmlformats.org/officeDocument/2006/relationships/hyperlink" Target="https://arxiv.org/abs/2406.12027" TargetMode="External"/><Relationship Id="rId3" Type="http://schemas.openxmlformats.org/officeDocument/2006/relationships/hyperlink" Target="https://scholar.google.com/scholar?q=%22Adversarial%20Perturbations%20Cannot%20Reliably%20Protect%20Artists%20From%20Generative%20AI%22" TargetMode="External"/><Relationship Id="rId4" Type="http://schemas.openxmlformats.org/officeDocument/2006/relationships/hyperlink" Target="https://arxiv.org/abs/2505.20985" TargetMode="External"/><Relationship Id="rId5" Type="http://schemas.openxmlformats.org/officeDocument/2006/relationships/hyperlink" Target="https://scholar.google.com/scholar?q=%22Assessing%20the%20Use%20of%20Face%20Swapping%20Methods%20as%20Face%20Anonymizers%20in%20Videos%22" TargetMode="External"/><Relationship Id="rId6" Type="http://schemas.openxmlformats.org/officeDocument/2006/relationships/hyperlink" Target="https://arxiv.org/abs/2503.10549" TargetMode="External"/><Relationship Id="rId7" Type="http://schemas.openxmlformats.org/officeDocument/2006/relationships/hyperlink" Target="https://scholar.google.com/scholar?q=%22Controllable%20Adversarial%20Makeup%20for%20Privacy%20via%20Text-Guided%20Diffusion%22" TargetMode="External"/><Relationship Id="rId8" Type="http://schemas.openxmlformats.org/officeDocument/2006/relationships/hyperlink" Target="https://github.com/joellliu/DiffProtect" TargetMode="External"/><Relationship Id="rId9" Type="http://schemas.openxmlformats.org/officeDocument/2006/relationships/hyperlink" Target="https://arxiv.org/abs/2305.13625" TargetMode="External"/><Relationship Id="rId10" Type="http://schemas.openxmlformats.org/officeDocument/2006/relationships/hyperlink" Target="https://scholar.google.com/scholar?q=%22DiffProtect%3A%20Generate%20Adversarial%20Examples%20with%20Diffusion%20Models%20for%20Facial%20Privacy%20Protection%22" TargetMode="External"/><Relationship Id="rId11" Type="http://schemas.openxmlformats.org/officeDocument/2006/relationships/hyperlink" Target="https://arxiv.org/abs/2504.21646" TargetMode="External"/><Relationship Id="rId12" Type="http://schemas.openxmlformats.org/officeDocument/2006/relationships/hyperlink" Target="https://scholar.google.com/scholar?q=%22Diffusion-based%20Adversarial%20Identity%20Manipulation%20for%20Facial%20Privacy%20Protection%22" TargetMode="External"/><Relationship Id="rId13" Type="http://schemas.openxmlformats.org/officeDocument/2006/relationships/hyperlink" Target="https://github.com/parham1998/Facial-Privacy-Protection" TargetMode="External"/><Relationship Id="rId14" Type="http://schemas.openxmlformats.org/officeDocument/2006/relationships/hyperlink" Target="https://openaccess.thecvf.com/content/CVPR2025/html/Salar_Enhancing_Facial_Privacy_Protection_via_Weakening_Diffusion_Purification_CVPR_2025_paper.html" TargetMode="External"/><Relationship Id="rId15" Type="http://schemas.openxmlformats.org/officeDocument/2006/relationships/hyperlink" Target="https://scholar.google.com/scholar?q=%22Enhancing%20Facial%20Privacy%20Protection%20via%20Weakening%20Diffusion%20Purification%22" TargetMode="External"/><Relationship Id="rId16" Type="http://schemas.openxmlformats.org/officeDocument/2006/relationships/hyperlink" Target="https://github.com/hanweikung/face_anon_simple" TargetMode="External"/><Relationship Id="rId17" Type="http://schemas.openxmlformats.org/officeDocument/2006/relationships/hyperlink" Target="https://arxiv.org/abs/2411.00762" TargetMode="External"/><Relationship Id="rId18" Type="http://schemas.openxmlformats.org/officeDocument/2006/relationships/hyperlink" Target="https://scholar.google.com/scholar?q=%22Face%20Anonymization%20Made%20Simple%22" TargetMode="External"/><Relationship Id="rId19" Type="http://schemas.openxmlformats.org/officeDocument/2006/relationships/hyperlink" Target="https://arxiv.org/abs/2411.03960" TargetMode="External"/><Relationship Id="rId20" Type="http://schemas.openxmlformats.org/officeDocument/2006/relationships/hyperlink" Target="https://scholar.google.com/scholar?q=%22Face%20Reconstruction%20from%20Face%20Embeddings%20using%20Adapter%20to%20a%20Face%20Foundation%20Model%22" TargetMode="External"/><Relationship Id="rId21" Type="http://schemas.openxmlformats.org/officeDocument/2006/relationships/hyperlink" Target="https://doi.org/10.1016/j.cosrev.2025.100785" TargetMode="External"/><Relationship Id="rId22" Type="http://schemas.openxmlformats.org/officeDocument/2006/relationships/hyperlink" Target="https://scholar.google.com/scholar?q=%22Facial%20Privacy%20in%20the%20Digital%20Era%3A%20A%20Comprehensive%20Survey%20on%20Methods%2C%20Evaluation%2C%20and%20Future%20Directions%22" TargetMode="External"/><Relationship Id="rId23" Type="http://schemas.openxmlformats.org/officeDocument/2006/relationships/hyperlink" Target="https://arxiv.org/abs/2412.11638" TargetMode="External"/><Relationship Id="rId24" Type="http://schemas.openxmlformats.org/officeDocument/2006/relationships/hyperlink" Target="https://scholar.google.com/scholar?q=%22IDProtector%3A%20An%20Adversarial%20Noise%20Encoder%20to%20Protect%20Against%20ID-Preserving%20Image%20Generation%22" TargetMode="External"/><Relationship Id="rId25" Type="http://schemas.openxmlformats.org/officeDocument/2006/relationships/hyperlink" Target="https://arxiv.org/abs/2506.09777" TargetMode="External"/><Relationship Id="rId26" Type="http://schemas.openxmlformats.org/officeDocument/2006/relationships/hyperlink" Target="https://scholar.google.com/scholar?q=%22Inverting%20Black-Box%20Face%20Recognition%20Systems%20via%20Zero-Order%20Optimization%20in%20Eigenface%20Space%22" TargetMode="External"/><Relationship Id="rId27" Type="http://schemas.openxmlformats.org/officeDocument/2006/relationships/hyperlink" Target="https://arxiv.org/abs/2509.11249" TargetMode="External"/><Relationship Id="rId28" Type="http://schemas.openxmlformats.org/officeDocument/2006/relationships/hyperlink" Target="https://scholar.google.com/scholar?q=%22Make%20Identity%20Unextractable%20yet%20Perceptible%3A%20Synthesis-Based%20Privacy%20Protection%20for%20Subject%20Faces%20in%20Photos%22" TargetMode="External"/><Relationship Id="rId29" Type="http://schemas.openxmlformats.org/officeDocument/2006/relationships/hyperlink" Target="https://github.com/anilegin/AnonNET" TargetMode="External"/><Relationship Id="rId30" Type="http://schemas.openxmlformats.org/officeDocument/2006/relationships/hyperlink" Target="https://arxiv.org/abs/2601.11635" TargetMode="External"/><Relationship Id="rId31" Type="http://schemas.openxmlformats.org/officeDocument/2006/relationships/hyperlink" Target="https://scholar.google.com/scholar?q=%22Now%20You%20See%20Me%2C%20Now%20You%20Don%27t%3A%20A%20Unified%20Framework%20for%20Expression%20Consistent%20Anonymization%20in%20Talking%20Head%20Videos%22" TargetMode="External"/><Relationship Id="rId32" Type="http://schemas.openxmlformats.org/officeDocument/2006/relationships/hyperlink" Target="https://arxiv.org/abs/2508.02034" TargetMode="External"/><Relationship Id="rId33" Type="http://schemas.openxmlformats.org/officeDocument/2006/relationships/hyperlink" Target="https://scholar.google.com/scholar?q=%22Protego%3A%20User-Centric%20Pose-Invariant%20Privacy%20Protection%20Against%20Face%20Recognition-Induced%20Digital%20Footprint%20Exposure%22" TargetMode="External"/><Relationship Id="rId34" Type="http://schemas.openxmlformats.org/officeDocument/2006/relationships/hyperlink" Target="https://arxiv.org/abs/2510.01031" TargetMode="External"/><Relationship Id="rId35" Type="http://schemas.openxmlformats.org/officeDocument/2006/relationships/hyperlink" Target="https://scholar.google.com/scholar?q=%22Secure%20and%20Reversible%20Face%20Anonymization%20with%20Diffusion%20Models%22" TargetMode="External"/><Relationship Id="rId36" Type="http://schemas.openxmlformats.org/officeDocument/2006/relationships/hyperlink" Target="https://github.com/HaiyuWu/vec2face" TargetMode="External"/><Relationship Id="rId37" Type="http://schemas.openxmlformats.org/officeDocument/2006/relationships/hyperlink" Target="https://arxiv.org/abs/2409.02979" TargetMode="External"/><Relationship Id="rId38" Type="http://schemas.openxmlformats.org/officeDocument/2006/relationships/hyperlink" Target="https://scholar.google.com/scholar?q=%22Vec2Face%3A%20Scaling%20Face%20Dataset%20Generation%20with%20Loosely%20Constrained%20Vectors%22" TargetMode="External"/><Relationship Id="rId39" Type="http://schemas.openxmlformats.org/officeDocument/2006/relationships/hyperlink" Target="https://arxiv.org/abs/2303.16552" TargetMode="External"/><Relationship Id="rId40" Type="http://schemas.openxmlformats.org/officeDocument/2006/relationships/hyperlink" Target="https://scholar.google.com/scholar?q=%22Visual%20Content%20Privacy%20Protection%3A%20A%20Survey%22" TargetMode="External"/><Relationship Id="rId4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hyperlink" Target="https://arxiv.org/abs/2605.03857" TargetMode="External"/><Relationship Id="rId2" Type="http://schemas.openxmlformats.org/officeDocument/2006/relationships/hyperlink" Target="https://scholar.google.com/scholar?q=%22A%20Deeper%20Dive%20into%20the%20Irreversibility%20of%20PolyProtect%3A%20Making%20Protected%20Face%20Templates%20Harder%20to%20Invert%22" TargetMode="External"/><Relationship Id="rId3" Type="http://schemas.openxmlformats.org/officeDocument/2006/relationships/hyperlink" Target="https://arxiv.org/abs/2608.04314" TargetMode="External"/><Relationship Id="rId4" Type="http://schemas.openxmlformats.org/officeDocument/2006/relationships/hyperlink" Target="https://scholar.google.com/scholar?q=%22Adversarial%20Attacks%20for%20Good%3A%20A%20Survey%20of%20Proactive%20Protection%20across%20the%20Visual%20Content%20Lifecycle%22" TargetMode="External"/><Relationship Id="rId5" Type="http://schemas.openxmlformats.org/officeDocument/2006/relationships/hyperlink" Target="https://arxiv.org/abs/2504.18015" TargetMode="External"/><Relationship Id="rId6" Type="http://schemas.openxmlformats.org/officeDocument/2006/relationships/hyperlink" Target="https://scholar.google.com/scholar?q=%22DiffMI%3A%20Breaking%20Face%20Recognition%20Privacy%20via%20Diffusion-Driven%20Training-Free%20Model%20Inversion%22" TargetMode="External"/><Relationship Id="rId7" Type="http://schemas.openxmlformats.org/officeDocument/2006/relationships/hyperlink" Target="https://arxiv.org/abs/2603.13121" TargetMode="External"/><Relationship Id="rId8" Type="http://schemas.openxmlformats.org/officeDocument/2006/relationships/hyperlink" Target="https://arxiv.org/abs/2603.13121" TargetMode="External"/><Relationship Id="rId9" Type="http://schemas.openxmlformats.org/officeDocument/2006/relationships/hyperlink" Target="https://scholar.google.com/scholar?q=%22FDeID-Toolbox%3A%20Face%20De-Identification%20Toolbox%22" TargetMode="External"/><Relationship Id="rId10" Type="http://schemas.openxmlformats.org/officeDocument/2006/relationships/hyperlink" Target="https://arxiv.org/abs/2607.25926" TargetMode="External"/><Relationship Id="rId11" Type="http://schemas.openxmlformats.org/officeDocument/2006/relationships/hyperlink" Target="https://scholar.google.com/scholar?q=%22Face%20De-Identification%3A%20A%20Domain-Centric%20Survey%20from%20Capture%20to%20Processing%22" TargetMode="External"/><Relationship Id="rId12" Type="http://schemas.openxmlformats.org/officeDocument/2006/relationships/hyperlink" Target="https://arxiv.org/abs/2602.02914" TargetMode="External"/><Relationship Id="rId13" Type="http://schemas.openxmlformats.org/officeDocument/2006/relationships/hyperlink" Target="https://scholar.google.com/scholar?q=%22FaceLinkGen%3A%20A%20Re-evaluation%20of%20Identity%20Leakage%20in%20Privacy-Preserving%20Face%20Recognition%20and%20Face%20Anonymization%20Systems%20Using%20Simple%20Distillation%22" TargetMode="External"/><Relationship Id="rId14" Type="http://schemas.openxmlformats.org/officeDocument/2006/relationships/hyperlink" Target="https://arxiv.org/abs/2606.17606" TargetMode="External"/><Relationship Id="rId15" Type="http://schemas.openxmlformats.org/officeDocument/2006/relationships/hyperlink" Target="https://scholar.google.com/scholar?q=%22Flux-Guard%3A%20Facial%20Identity%20Protection%20using%20Diffusion%20Models%22" TargetMode="External"/><Relationship Id="rId16" Type="http://schemas.openxmlformats.org/officeDocument/2006/relationships/hyperlink" Target="https://arxiv.org/abs/2412.15228" TargetMode="External"/><Relationship Id="rId17" Type="http://schemas.openxmlformats.org/officeDocument/2006/relationships/hyperlink" Target="https://scholar.google.com/scholar?q=%22Image%20Privacy%20Protection%3A%20A%20Survey%22" TargetMode="External"/><Relationship Id="rId18"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hyperlink" Target="https://github.com/Tencent/TFace" TargetMode="External"/><Relationship Id="rId2" Type="http://schemas.openxmlformats.org/officeDocument/2006/relationships/hyperlink" Target="https://openaccess.thecvf.com/content/CVPR2024/html/Mi_Privacy-Preserving_Face_Recognition_Using_Trainable_Feature_Subtraction_CVPR_2024_paper.html" TargetMode="External"/><Relationship Id="rId3" Type="http://schemas.openxmlformats.org/officeDocument/2006/relationships/hyperlink" Target="https://scholar.google.com/scholar?q=%22Privacy-Preserving%20Face%20Recognition%20Using%20Trainable%20Feature%20Subtraction%22" TargetMode="External"/><Relationship Id="rId4" Type="http://schemas.openxmlformats.org/officeDocument/2006/relationships/hyperlink" Target="https://arxiv.org/abs/2110.05044" TargetMode="External"/><Relationship Id="rId5" Type="http://schemas.openxmlformats.org/officeDocument/2006/relationships/hyperlink" Target="https://scholar.google.com/scholar?q=%22Biometric%20Template%20Protection%20for%20Neural-Network-Based%20Face%20Recognition%20Systems%3A%20A%20Survey%20of%20Methods%20and%20Evaluation%20Techniques%22" TargetMode="External"/><Relationship Id="rId6" Type="http://schemas.openxmlformats.org/officeDocument/2006/relationships/hyperlink" Target="https://github.com/Tencent/TFace" TargetMode="External"/><Relationship Id="rId7" Type="http://schemas.openxmlformats.org/officeDocument/2006/relationships/hyperlink" Target="https://arxiv.org/abs/2308.10461" TargetMode="External"/><Relationship Id="rId8" Type="http://schemas.openxmlformats.org/officeDocument/2006/relationships/hyperlink" Target="https://scholar.google.com/scholar?q=%22Privacy-Preserving%20Face%20Recognition%20Using%20Random%20Frequency%20Components%22" TargetMode="External"/><Relationship Id="rId9" Type="http://schemas.openxmlformats.org/officeDocument/2006/relationships/hyperlink" Target="https://arxiv.org/abs/2102.02458" TargetMode="External"/><Relationship Id="rId10" Type="http://schemas.openxmlformats.org/officeDocument/2006/relationships/hyperlink" Target="https://scholar.google.com/scholar?q=%22Deep%20Face%20Fuzzy%20Vault%3A%20Implementation%20and%20Performance%22" TargetMode="External"/><Relationship Id="rId11" Type="http://schemas.openxmlformats.org/officeDocument/2006/relationships/hyperlink" Target="https://github.com/Tencent/TFace" TargetMode="External"/><Relationship Id="rId12" Type="http://schemas.openxmlformats.org/officeDocument/2006/relationships/hyperlink" Target="https://arxiv.org/abs/2207.07340" TargetMode="External"/><Relationship Id="rId13" Type="http://schemas.openxmlformats.org/officeDocument/2006/relationships/hyperlink" Target="https://scholar.google.com/scholar?q=%22DuetFace%3A%20Collaborative%20Privacy-Preserving%20Face%20Recognition%20via%20Channel%20Splitting%20in%20the%20Frequency%20Domain%22" TargetMode="External"/><Relationship Id="rId14" Type="http://schemas.openxmlformats.org/officeDocument/2006/relationships/hyperlink" Target="https://github.com/human-analysis/hers-encrypted-image-search" TargetMode="External"/><Relationship Id="rId15" Type="http://schemas.openxmlformats.org/officeDocument/2006/relationships/hyperlink" Target="https://arxiv.org/abs/2003.12197" TargetMode="External"/><Relationship Id="rId16" Type="http://schemas.openxmlformats.org/officeDocument/2006/relationships/hyperlink" Target="https://scholar.google.com/scholar?q=%22HERS%3A%20Homomorphically%20Encrypted%20Representation%20Search%22" TargetMode="External"/><Relationship Id="rId17" Type="http://schemas.openxmlformats.org/officeDocument/2006/relationships/hyperlink" Target="https://doi.org/10.1109/IJCB54206.2022.10007960" TargetMode="External"/><Relationship Id="rId18" Type="http://schemas.openxmlformats.org/officeDocument/2006/relationships/hyperlink" Target="https://scholar.google.com/scholar?q=%22Hybrid%20Protection%20of%20Biometric%20Templates%20by%20Combining%20Homomorphic%20Encryption%20and%20Cancelable%20Biometrics%22" TargetMode="External"/><Relationship Id="rId19" Type="http://schemas.openxmlformats.org/officeDocument/2006/relationships/hyperlink" Target="https://www.iso.org/standard/75302.html" TargetMode="External"/><Relationship Id="rId20" Type="http://schemas.openxmlformats.org/officeDocument/2006/relationships/hyperlink" Target="https://scholar.google.com/scholar?q=%22ISO/IEC%2024745%3A2022%20Information%20security%2C%20cybersecurity%20and%20privacy%20protection%3A%20Biometric%20information%20protection%22" TargetMode="External"/><Relationship Id="rId21" Type="http://schemas.openxmlformats.org/officeDocument/2006/relationships/hyperlink" Target="https://doi.org/10.1609/aaai.v36i3.20157" TargetMode="External"/><Relationship Id="rId22" Type="http://schemas.openxmlformats.org/officeDocument/2006/relationships/hyperlink" Target="https://scholar.google.com/scholar?q=%22Privacy-Preserving%20Face%20Recognition%20in%20the%20Frequency%20Domain%22" TargetMode="External"/><Relationship Id="rId23" Type="http://schemas.openxmlformats.org/officeDocument/2006/relationships/hyperlink" Target="https://github.com/Tencent/TFace" TargetMode="External"/><Relationship Id="rId24" Type="http://schemas.openxmlformats.org/officeDocument/2006/relationships/hyperlink" Target="https://arxiv.org/abs/2207.07316" TargetMode="External"/><Relationship Id="rId25" Type="http://schemas.openxmlformats.org/officeDocument/2006/relationships/hyperlink" Target="https://scholar.google.com/scholar?q=%22Privacy-Preserving%20Face%20Recognition%20with%20Learnable%20Privacy%20Budgets%20in%20Frequency%20Domain%22" TargetMode="External"/><Relationship Id="rId26" Type="http://schemas.openxmlformats.org/officeDocument/2006/relationships/hyperlink" Target="https://technology.idiap.ch/technologies/biometrics/polyprotect/" TargetMode="External"/><Relationship Id="rId27" Type="http://schemas.openxmlformats.org/officeDocument/2006/relationships/hyperlink" Target="https://arxiv.org/abs/2110.00434" TargetMode="External"/><Relationship Id="rId28" Type="http://schemas.openxmlformats.org/officeDocument/2006/relationships/hyperlink" Target="https://scholar.google.com/scholar?q=%22Towards%20Protecting%20Face%20Embeddings%20in%20Mobile%20Face%20Verification%20Scenarios%22" TargetMode="External"/><Relationship Id="rId29" Type="http://schemas.openxmlformats.org/officeDocument/2006/relationships/hyperlink" Target="https://arxiv.org/abs/2104.02239" TargetMode="External"/><Relationship Id="rId30" Type="http://schemas.openxmlformats.org/officeDocument/2006/relationships/hyperlink" Target="https://scholar.google.com/scholar?q=%22IronMask%3A%20Modular%20Architecture%20for%20Protecting%20Deep%20Face%20Template%22" TargetMode="External"/><Relationship Id="rId31" Type="http://schemas.openxmlformats.org/officeDocument/2006/relationships/hyperlink" Target="https://ieeexplore.ieee.org/document/9210976" TargetMode="External"/><Relationship Id="rId32" Type="http://schemas.openxmlformats.org/officeDocument/2006/relationships/hyperlink" Target="https://scholar.google.com/scholar?q=%22Efficiency%20Analysis%20of%20Post-Quantum-Secure%20Face%20Template%20Protection%20Schemes%20Based%20on%20Homomorphic%20Encryption%22" TargetMode="External"/><Relationship Id="rId33" Type="http://schemas.openxmlformats.org/officeDocument/2006/relationships/hyperlink" Target="https://doi.org/10.1109/CVPRW.2018.00087" TargetMode="External"/><Relationship Id="rId34" Type="http://schemas.openxmlformats.org/officeDocument/2006/relationships/hyperlink" Target="https://scholar.google.com/scholar?q=%22Face%20Template%20Protection%20Using%20Deep%20Convolutional%20Neural%20Network%22" TargetMode="External"/><Relationship Id="rId35" Type="http://schemas.openxmlformats.org/officeDocument/2006/relationships/hyperlink" Target="https://doi.org/10.1109/TIFS.2017.2788000" TargetMode="External"/><Relationship Id="rId36" Type="http://schemas.openxmlformats.org/officeDocument/2006/relationships/hyperlink" Target="https://scholar.google.com/scholar?q=%22General%20Framework%20to%20Evaluate%20Unlinkability%20in%20Biometric%20Template%20Protection%20Systems%22" TargetMode="External"/><Relationship Id="rId37" Type="http://schemas.openxmlformats.org/officeDocument/2006/relationships/hyperlink" Target="https://github.com/human-analysis/secure-face-matching" TargetMode="External"/><Relationship Id="rId38" Type="http://schemas.openxmlformats.org/officeDocument/2006/relationships/hyperlink" Target="https://arxiv.org/abs/1805.00577" TargetMode="External"/><Relationship Id="rId39" Type="http://schemas.openxmlformats.org/officeDocument/2006/relationships/hyperlink" Target="https://scholar.google.com/scholar?q=%22Secure%20Face%20Matching%20Using%20Fully%20Homomorphic%20Encryption%22" TargetMode="External"/><Relationship Id="rId40" Type="http://schemas.openxmlformats.org/officeDocument/2006/relationships/hyperlink" Target="https://doi.org/10.1109/CVPRW.2016.17" TargetMode="External"/><Relationship Id="rId41" Type="http://schemas.openxmlformats.org/officeDocument/2006/relationships/hyperlink" Target="https://scholar.google.com/scholar?q=%22Deep%20Secure%20Encoding%20for%20Face%20Template%20Protection%22" TargetMode="External"/><Relationship Id="rId42" Type="http://schemas.openxmlformats.org/officeDocument/2006/relationships/hyperlink" Target="https://doi.org/10.1109/MSP.2015.2427849" TargetMode="External"/><Relationship Id="rId43" Type="http://schemas.openxmlformats.org/officeDocument/2006/relationships/hyperlink" Target="https://scholar.google.com/scholar?q=%22Biometric%20Template%20Protection%3A%20Bridging%20the%20Performance%20Gap%20Between%20Theory%20and%20Practice%22" TargetMode="External"/><Relationship Id="rId44" Type="http://schemas.openxmlformats.org/officeDocument/2006/relationships/hyperlink" Target="https://doi.org/10.1109/SP.2010.39" TargetMode="External"/><Relationship Id="rId45" Type="http://schemas.openxmlformats.org/officeDocument/2006/relationships/hyperlink" Target="https://scholar.google.com/scholar?q=%22SCiFI%3A%20A%20System%20for%20Secure%20Face%20Identification%22" TargetMode="External"/><Relationship Id="rId46" Type="http://schemas.openxmlformats.org/officeDocument/2006/relationships/hyperlink" Target="https://doi.org/10.1007/978-3-642-14423-3_16" TargetMode="External"/><Relationship Id="rId47" Type="http://schemas.openxmlformats.org/officeDocument/2006/relationships/hyperlink" Target="https://scholar.google.com/scholar?q=%22Efficient%20Privacy-Preserving%20Face%20Recognition%22" TargetMode="External"/><Relationship Id="rId48" Type="http://schemas.openxmlformats.org/officeDocument/2006/relationships/hyperlink" Target="https://doi.org/10.1007/978-3-642-03168-7_14" TargetMode="External"/><Relationship Id="rId49" Type="http://schemas.openxmlformats.org/officeDocument/2006/relationships/hyperlink" Target="https://scholar.google.com/scholar?q=%22Privacy-Preserving%20Face%20Recognition%22" TargetMode="External"/><Relationship Id="rId50" Type="http://schemas.openxmlformats.org/officeDocument/2006/relationships/hyperlink" Target="https://doi.org/10.1016/j.patcog.2004.04.011" TargetMode="External"/><Relationship Id="rId51" Type="http://schemas.openxmlformats.org/officeDocument/2006/relationships/hyperlink" Target="https://scholar.google.com/scholar?q=%22BioHashing%3A%20Two%20Factor%20Authentication%20Featuring%20Fingerprint%20Data%20and%20Tokenised%20Random%20Number%22" TargetMode="External"/><Relationship Id="rId52" Type="http://schemas.openxmlformats.org/officeDocument/2006/relationships/hyperlink" Target="https://doi.org/10.1109/ISIT.2002.1023680" TargetMode="External"/><Relationship Id="rId53" Type="http://schemas.openxmlformats.org/officeDocument/2006/relationships/hyperlink" Target="https://scholar.google.com/scholar?q=%22A%20Fuzzy%20Vault%20Scheme%22" TargetMode="External"/><Relationship Id="rId54" Type="http://schemas.openxmlformats.org/officeDocument/2006/relationships/hyperlink" Target="https://doi.org/10.1147/sj.403.0614" TargetMode="External"/><Relationship Id="rId55" Type="http://schemas.openxmlformats.org/officeDocument/2006/relationships/hyperlink" Target="https://scholar.google.com/scholar?q=%22Enhancing%20Security%20and%20Privacy%20in%20Biometrics-Based%20Authentication%20Systems%22" TargetMode="External"/><Relationship Id="rId56" Type="http://schemas.openxmlformats.org/officeDocument/2006/relationships/hyperlink" Target="https://doi.org/10.1145/319709.319714" TargetMode="External"/><Relationship Id="rId57" Type="http://schemas.openxmlformats.org/officeDocument/2006/relationships/hyperlink" Target="https://scholar.google.com/scholar?q=%22A%20Fuzzy%20Commitment%20Scheme%22" TargetMode="External"/><Relationship Id="rId58"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hyperlink" Target="https://arxiv.org/abs/2301.02516" TargetMode="External"/><Relationship Id="rId2" Type="http://schemas.openxmlformats.org/officeDocument/2006/relationships/hyperlink" Target="https://scholar.google.com/scholar?q=%22Multi-IVE%3A%20Privacy%20Enhancement%20of%20Multiple%20Soft-Biometrics%20in%20Face%20Embeddings%22" TargetMode="External"/><Relationship Id="rId3" Type="http://schemas.openxmlformats.org/officeDocument/2006/relationships/hyperlink" Target="https://arxiv.org/abs/2108.03764" TargetMode="External"/><Relationship Id="rId4" Type="http://schemas.openxmlformats.org/officeDocument/2006/relationships/hyperlink" Target="https://scholar.google.com/scholar?q=%22PASS%3A%20Protected%20Attribute%20Suppression%20System%20for%20Mitigating%20Bias%20in%20Face%20Recognition%22" TargetMode="External"/><Relationship Id="rId5" Type="http://schemas.openxmlformats.org/officeDocument/2006/relationships/hyperlink" Target="https://arxiv.org/abs/1902.00334" TargetMode="External"/><Relationship Id="rId6" Type="http://schemas.openxmlformats.org/officeDocument/2006/relationships/hyperlink" Target="https://scholar.google.com/scholar?q=%22SensitiveNets%3A%20Learning%20Agnostic%20Representations%20with%20Application%20to%20Face%20Images%22" TargetMode="External"/><Relationship Id="rId7" Type="http://schemas.openxmlformats.org/officeDocument/2006/relationships/hyperlink" Target="https://doi.org/10.1109/FG47880.2020.00007" TargetMode="External"/><Relationship Id="rId8" Type="http://schemas.openxmlformats.org/officeDocument/2006/relationships/hyperlink" Target="https://scholar.google.com/scholar?q=%22Learning%20Privacy-Enhancing%20Face%20Representations%20Through%20Feature%20Disentanglement%22" TargetMode="External"/><Relationship Id="rId9" Type="http://schemas.openxmlformats.org/officeDocument/2006/relationships/hyperlink" Target="https://doi.org/10.1109/ACCESS.2020.2994960" TargetMode="External"/><Relationship Id="rId10" Type="http://schemas.openxmlformats.org/officeDocument/2006/relationships/hyperlink" Target="https://scholar.google.com/scholar?q=%22PE-MIU%3A%20A%20Training-Free%20Privacy-Enhancing%20Face%20Recognition%20Approach%20Based%20on%20Minimum%20Information%20Units%22" TargetMode="External"/><Relationship Id="rId11" Type="http://schemas.openxmlformats.org/officeDocument/2006/relationships/hyperlink" Target="https://ieeexplore.ieee.org/document/9211021" TargetMode="External"/><Relationship Id="rId12" Type="http://schemas.openxmlformats.org/officeDocument/2006/relationships/hyperlink" Target="https://scholar.google.com/scholar?q=%22Privacy%20Evaluation%20Protocols%20for%20the%20Evaluation%20of%20Soft-Biometric%20Privacy-Enhancing%20Technologies%22" TargetMode="External"/><Relationship Id="rId13" Type="http://schemas.openxmlformats.org/officeDocument/2006/relationships/hyperlink" Target="https://arxiv.org/abs/2001.00561" TargetMode="External"/><Relationship Id="rId14" Type="http://schemas.openxmlformats.org/officeDocument/2006/relationships/hyperlink" Target="https://scholar.google.com/scholar?q=%22PrivacyNet%3A%20Semi-Adversarial%20Networks%20for%20Multi-Attribute%20Face%20Privacy%22" TargetMode="External"/><Relationship Id="rId15" Type="http://schemas.openxmlformats.org/officeDocument/2006/relationships/hyperlink" Target="https://arxiv.org/abs/2002.09181" TargetMode="External"/><Relationship Id="rId16" Type="http://schemas.openxmlformats.org/officeDocument/2006/relationships/hyperlink" Target="https://scholar.google.com/scholar?q=%22Unsupervised%20Enhancement%20of%20Soft-Biometric%20Privacy%20with%20Negative%20Face%20Recognition%22" TargetMode="External"/><Relationship Id="rId17" Type="http://schemas.openxmlformats.org/officeDocument/2006/relationships/hyperlink" Target="https://doi.org/10.1109/ACCESS.2019.2924619" TargetMode="External"/><Relationship Id="rId18" Type="http://schemas.openxmlformats.org/officeDocument/2006/relationships/hyperlink" Target="https://scholar.google.com/scholar?q=%22FlowSAN%3A%20Privacy-Enhancing%20Semi-Adversarial%20Networks%20to%20Confound%20Arbitrary%20Face-Based%20Gender%20Classifiers%22" TargetMode="External"/><Relationship Id="rId19" Type="http://schemas.openxmlformats.org/officeDocument/2006/relationships/hyperlink" Target="https://doi.org/10.1109/ICB45695.2019.8987331" TargetMode="External"/><Relationship Id="rId20" Type="http://schemas.openxmlformats.org/officeDocument/2006/relationships/hyperlink" Target="https://scholar.google.com/scholar?q=%22Suppressing%20Gender%20and%20Age%20in%20Face%20Templates%20Using%20Incremental%20Variable%20Elimination%22" TargetMode="External"/><Relationship Id="rId21" Type="http://schemas.openxmlformats.org/officeDocument/2006/relationships/hyperlink" Target="https://arxiv.org/abs/1712.00321" TargetMode="External"/><Relationship Id="rId22" Type="http://schemas.openxmlformats.org/officeDocument/2006/relationships/hyperlink" Target="https://scholar.google.com/scholar?q=%22Semi-Adversarial%20Networks%3A%20Convolutional%20Autoencoders%20for%20Imparting%20Privacy%20to%20Face%20Images%22" TargetMode="External"/><Relationship Id="rId23" Type="http://schemas.openxmlformats.org/officeDocument/2006/relationships/hyperlink" Target="https://doi.org/10.1109/BTAS.2017.8272743" TargetMode="External"/><Relationship Id="rId24" Type="http://schemas.openxmlformats.org/officeDocument/2006/relationships/hyperlink" Target="https://scholar.google.com/scholar?q=%22Soft%20Biometric%20Privacy%3A%20Retaining%20Biometric%20Utility%20of%20Face%20Images%20While%20Perturbing%20Gender%22" TargetMode="External"/><Relationship Id="rId25"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hyperlink" Target="https://github.com/hanweikung/face_anon_simple" TargetMode="External"/><Relationship Id="rId2" Type="http://schemas.openxmlformats.org/officeDocument/2006/relationships/hyperlink" Target="https://arxiv.org/abs/2411.00762" TargetMode="External"/><Relationship Id="rId3" Type="http://schemas.openxmlformats.org/officeDocument/2006/relationships/hyperlink" Target="https://scholar.google.com/scholar?q=%22Face%20Anonymization%20Made%20Simple%22" TargetMode="External"/><Relationship Id="rId4" Type="http://schemas.openxmlformats.org/officeDocument/2006/relationships/hyperlink" Target="https://arxiv.org/abs/2509.11249" TargetMode="External"/><Relationship Id="rId5" Type="http://schemas.openxmlformats.org/officeDocument/2006/relationships/hyperlink" Target="https://scholar.google.com/scholar?q=%22Make%20Identity%20Unextractable%20yet%20Perceptible%3A%20Synthesis-Based%20Privacy%20Protection%20for%20Subject%20Faces%20in%20Photos%22" TargetMode="External"/><Relationship Id="rId6" Type="http://schemas.openxmlformats.org/officeDocument/2006/relationships/hyperlink" Target="https://github.com/anilegin/AnonNET" TargetMode="External"/><Relationship Id="rId7" Type="http://schemas.openxmlformats.org/officeDocument/2006/relationships/hyperlink" Target="https://arxiv.org/abs/2601.11635" TargetMode="External"/><Relationship Id="rId8" Type="http://schemas.openxmlformats.org/officeDocument/2006/relationships/hyperlink" Target="https://scholar.google.com/scholar?q=%22Now%20You%20See%20Me%2C%20Now%20You%20Don%27t%3A%20A%20Unified%20Framework%20for%20Expression%20Consistent%20Anonymization%20in%20Talking%20Head%20Videos%22" TargetMode="External"/><Relationship Id="rId9" Type="http://schemas.openxmlformats.org/officeDocument/2006/relationships/hyperlink" Target="https://arxiv.org/abs/2510.01031" TargetMode="External"/><Relationship Id="rId10" Type="http://schemas.openxmlformats.org/officeDocument/2006/relationships/hyperlink" Target="https://scholar.google.com/scholar?q=%22Secure%20and%20Reversible%20Face%20Anonymization%20with%20Diffusion%20Models%22" TargetMode="External"/><Relationship Id="rId11" Type="http://schemas.openxmlformats.org/officeDocument/2006/relationships/hyperlink" Target="https://arxiv.org/abs/2303.13269" TargetMode="External"/><Relationship Id="rId12" Type="http://schemas.openxmlformats.org/officeDocument/2006/relationships/hyperlink" Target="https://scholar.google.com/scholar?q=%22Disguise%20without%20Disruption%3A%20Utility-Preserving%20Face%20De-Identification%22" TargetMode="External"/><Relationship Id="rId13" Type="http://schemas.openxmlformats.org/officeDocument/2006/relationships/hyperlink" Target="https://arxiv.org/abs/2406.17219" TargetMode="External"/><Relationship Id="rId14" Type="http://schemas.openxmlformats.org/officeDocument/2006/relationships/hyperlink" Target="https://scholar.google.com/scholar?q=%22Facial%20Identity%20Anonymization%20via%20Intrinsic%20and%20Extrinsic%20Attention%20Distraction%22" TargetMode="External"/><Relationship Id="rId15" Type="http://schemas.openxmlformats.org/officeDocument/2006/relationships/hyperlink" Target="https://github.com/Harxis/G2Face" TargetMode="External"/><Relationship Id="rId16" Type="http://schemas.openxmlformats.org/officeDocument/2006/relationships/hyperlink" Target="https://arxiv.org/abs/2408.09458" TargetMode="External"/><Relationship Id="rId17" Type="http://schemas.openxmlformats.org/officeDocument/2006/relationships/hyperlink" Target="https://scholar.google.com/scholar?q=%22G2Face%3A%20High-Fidelity%20Reversible%20Face%20Anonymization%20via%20Generative%20and%20Geometric%20Priors%22" TargetMode="External"/><Relationship Id="rId18" Type="http://schemas.openxmlformats.org/officeDocument/2006/relationships/hyperlink" Target="https://github.com/hcmlab/GANonymization" TargetMode="External"/><Relationship Id="rId19" Type="http://schemas.openxmlformats.org/officeDocument/2006/relationships/hyperlink" Target="https://arxiv.org/abs/2305.02143" TargetMode="External"/><Relationship Id="rId20" Type="http://schemas.openxmlformats.org/officeDocument/2006/relationships/hyperlink" Target="https://scholar.google.com/scholar?q=%22GANonymization%3A%20A%20GAN-based%20Face%20Anonymization%20Framework%20for%20Preserving%20Emotional%20Expressions%22" TargetMode="External"/><Relationship Id="rId21" Type="http://schemas.openxmlformats.org/officeDocument/2006/relationships/hyperlink" Target="https://arxiv.org/abs/2403.14790" TargetMode="External"/><Relationship Id="rId22" Type="http://schemas.openxmlformats.org/officeDocument/2006/relationships/hyperlink" Target="https://scholar.google.com/scholar?q=%22Latent%20Diffusion%20Models%20for%20Attribute-Preserving%20Image%20Anonymization%22" TargetMode="External"/><Relationship Id="rId23" Type="http://schemas.openxmlformats.org/officeDocument/2006/relationships/hyperlink" Target="https://github.com/daizigege/CanFG" TargetMode="External"/><Relationship Id="rId24" Type="http://schemas.openxmlformats.org/officeDocument/2006/relationships/hyperlink" Target="https://doi.org/10.1145/3664647.3680704" TargetMode="External"/><Relationship Id="rId25" Type="http://schemas.openxmlformats.org/officeDocument/2006/relationships/hyperlink" Target="https://scholar.google.com/scholar?q=%22Make%20Privacy%20Renewable%21%20Generating%20Privacy-Preserving%20Faces%20Supporting%20Cancelable%20Biometric%20Recognition%22" TargetMode="External"/><Relationship Id="rId26" Type="http://schemas.openxmlformats.org/officeDocument/2006/relationships/hyperlink" Target="https://github.com/chi0tzp/FALCO" TargetMode="External"/><Relationship Id="rId27" Type="http://schemas.openxmlformats.org/officeDocument/2006/relationships/hyperlink" Target="https://arxiv.org/abs/2303.11296" TargetMode="External"/><Relationship Id="rId28" Type="http://schemas.openxmlformats.org/officeDocument/2006/relationships/hyperlink" Target="https://scholar.google.com/scholar?q=%22Attribute-Preserving%20Face%20Dataset%20Anonymization%20via%20Latent%20Code%20Optimization%22" TargetMode="External"/><Relationship Id="rId29" Type="http://schemas.openxmlformats.org/officeDocument/2006/relationships/hyperlink" Target="https://github.com/hukkelas/deep_privacy2" TargetMode="External"/><Relationship Id="rId30" Type="http://schemas.openxmlformats.org/officeDocument/2006/relationships/hyperlink" Target="https://arxiv.org/abs/2211.09454" TargetMode="External"/><Relationship Id="rId31" Type="http://schemas.openxmlformats.org/officeDocument/2006/relationships/hyperlink" Target="https://scholar.google.com/scholar?q=%22DeepPrivacy2%3A%20Towards%20Realistic%20Full-Body%20Anonymization%22" TargetMode="External"/><Relationship Id="rId32" Type="http://schemas.openxmlformats.org/officeDocument/2006/relationships/hyperlink" Target="https://openaccess.thecvf.com/content/ICCV2023/html/Wen_Divide_and_Conquer_a_Two-Step_Method_for_High_Quality_Face_ICCV_2023_paper.html" TargetMode="External"/><Relationship Id="rId33" Type="http://schemas.openxmlformats.org/officeDocument/2006/relationships/hyperlink" Target="https://scholar.google.com/scholar?q=%22Divide%20and%20Conquer%3A%20a%20Two-Step%20Method%20for%20High%20Quality%20Face%20De-Identification%20with%20Model%20Explainability%22" TargetMode="External"/><Relationship Id="rId34" Type="http://schemas.openxmlformats.org/officeDocument/2006/relationships/hyperlink" Target="https://arxiv.org/abs/2309.04228" TargetMode="External"/><Relationship Id="rId35" Type="http://schemas.openxmlformats.org/officeDocument/2006/relationships/hyperlink" Target="https://scholar.google.com/scholar?q=%22FIVA%3A%20Facial%20Image%20and%20Video%20Anonymization%20and%20Anonymization%20Defense%22" TargetMode="External"/><Relationship Id="rId36" Type="http://schemas.openxmlformats.org/officeDocument/2006/relationships/hyperlink" Target="https://arxiv.org/abs/2302.08931" TargetMode="External"/><Relationship Id="rId37" Type="http://schemas.openxmlformats.org/officeDocument/2006/relationships/hyperlink" Target="https://scholar.google.com/scholar?q=%22LDFA%3A%20Latent%20Diffusion%20Face%20Anonymization%20for%20Self-Driving%20Applications%22" TargetMode="External"/><Relationship Id="rId38" Type="http://schemas.openxmlformats.org/officeDocument/2006/relationships/hyperlink" Target="https://arxiv.org/abs/2211.01361" TargetMode="External"/><Relationship Id="rId39" Type="http://schemas.openxmlformats.org/officeDocument/2006/relationships/hyperlink" Target="https://scholar.google.com/scholar?q=%22My%20Face%20My%20Choice%3A%20Privacy%20Enhancing%20Deepfakes%20for%20Social%20Media%20Anonymization%22" TargetMode="External"/><Relationship Id="rId40" Type="http://schemas.openxmlformats.org/officeDocument/2006/relationships/hyperlink" Target="https://github.com/DongzeLi-CASIA/RiDDLE" TargetMode="External"/><Relationship Id="rId41" Type="http://schemas.openxmlformats.org/officeDocument/2006/relationships/hyperlink" Target="https://arxiv.org/abs/2303.05171" TargetMode="External"/><Relationship Id="rId42" Type="http://schemas.openxmlformats.org/officeDocument/2006/relationships/hyperlink" Target="https://scholar.google.com/scholar?q=%22RiDDLE%3A%20Reversible%20and%20Diversified%20De-identification%20with%20Latent%20Encryptor%22" TargetMode="External"/><Relationship Id="rId43" Type="http://schemas.openxmlformats.org/officeDocument/2006/relationships/hyperlink" Target="https://doi.org/10.1145/3474085.3475367" TargetMode="External"/><Relationship Id="rId44" Type="http://schemas.openxmlformats.org/officeDocument/2006/relationships/hyperlink" Target="https://scholar.google.com/scholar?q=%22Identity-Preserving%20Face%20Anonymization%20via%20Adaptively%20Facial%20Attributes%20Obfuscation%22" TargetMode="External"/><Relationship Id="rId45" Type="http://schemas.openxmlformats.org/officeDocument/2006/relationships/hyperlink" Target="https://openaccess.thecvf.com/content/ICCV2021/html/Cao_Personalized_and_Invertible_Face_De-Identification_by_Disentangled_Identity_Information_Manipulation_ICCV_2021_paper.html" TargetMode="External"/><Relationship Id="rId46" Type="http://schemas.openxmlformats.org/officeDocument/2006/relationships/hyperlink" Target="https://scholar.google.com/scholar?q=%22Personalized%20and%20Invertible%20Face%20De-identification%20by%20Disentangled%20Identity%20Information%20Manipulation%22" TargetMode="External"/><Relationship Id="rId47" Type="http://schemas.openxmlformats.org/officeDocument/2006/relationships/hyperlink" Target="https://github.com/dvl-tum/ciagan" TargetMode="External"/><Relationship Id="rId48" Type="http://schemas.openxmlformats.org/officeDocument/2006/relationships/hyperlink" Target="https://arxiv.org/abs/2005.09544" TargetMode="External"/><Relationship Id="rId49" Type="http://schemas.openxmlformats.org/officeDocument/2006/relationships/hyperlink" Target="https://scholar.google.com/scholar?q=%22CIAGAN%3A%20Conditional%20Identity%20Anonymization%20Generative%20Adversarial%20Networks%22" TargetMode="External"/><Relationship Id="rId50" Type="http://schemas.openxmlformats.org/officeDocument/2006/relationships/hyperlink" Target="https://github.com/laoreja/face-identity-transformer" TargetMode="External"/><Relationship Id="rId51" Type="http://schemas.openxmlformats.org/officeDocument/2006/relationships/hyperlink" Target="https://arxiv.org/abs/1911.11759" TargetMode="External"/><Relationship Id="rId52" Type="http://schemas.openxmlformats.org/officeDocument/2006/relationships/hyperlink" Target="https://scholar.google.com/scholar?q=%22Password-Conditioned%20Anonymization%20and%20Deanonymization%20with%20Face%20Identity%20Transformers%22" TargetMode="External"/><Relationship Id="rId53" Type="http://schemas.openxmlformats.org/officeDocument/2006/relationships/hyperlink" Target="https://arxiv.org/abs/1904.12620" TargetMode="External"/><Relationship Id="rId54" Type="http://schemas.openxmlformats.org/officeDocument/2006/relationships/hyperlink" Target="https://scholar.google.com/scholar?q=%22AnonymousNet%3A%20Natural%20Face%20De-Identification%20with%20Measurable%20Privacy%22" TargetMode="External"/><Relationship Id="rId55" Type="http://schemas.openxmlformats.org/officeDocument/2006/relationships/hyperlink" Target="https://github.com/hukkelas/DeepPrivacy" TargetMode="External"/><Relationship Id="rId56" Type="http://schemas.openxmlformats.org/officeDocument/2006/relationships/hyperlink" Target="https://arxiv.org/abs/1909.04538" TargetMode="External"/><Relationship Id="rId57" Type="http://schemas.openxmlformats.org/officeDocument/2006/relationships/hyperlink" Target="https://scholar.google.com/scholar?q=%22DeepPrivacy%3A%20A%20Generative%20Adversarial%20Network%20for%20Face%20Anonymization%22" TargetMode="External"/><Relationship Id="rId58" Type="http://schemas.openxmlformats.org/officeDocument/2006/relationships/hyperlink" Target="https://arxiv.org/abs/1911.08348" TargetMode="External"/><Relationship Id="rId59" Type="http://schemas.openxmlformats.org/officeDocument/2006/relationships/hyperlink" Target="https://scholar.google.com/scholar?q=%22Live%20Face%20De-Identification%20in%20Video%22" TargetMode="External"/><Relationship Id="rId60" Type="http://schemas.openxmlformats.org/officeDocument/2006/relationships/hyperlink" Target="https://arxiv.org/abs/1804.04779" TargetMode="External"/><Relationship Id="rId61" Type="http://schemas.openxmlformats.org/officeDocument/2006/relationships/hyperlink" Target="https://scholar.google.com/scholar?q=%22A%20Hybrid%20Model%20for%20Identity%20Obfuscation%20by%20Face%20Replacement%22" TargetMode="External"/><Relationship Id="rId62" Type="http://schemas.openxmlformats.org/officeDocument/2006/relationships/hyperlink" Target="https://arxiv.org/abs/1803.11556" TargetMode="External"/><Relationship Id="rId63" Type="http://schemas.openxmlformats.org/officeDocument/2006/relationships/hyperlink" Target="https://scholar.google.com/scholar?q=%22Learning%20to%20Anonymize%20Faces%20for%20Privacy%20Preserving%20Action%20Detection%22" TargetMode="External"/><Relationship Id="rId64" Type="http://schemas.openxmlformats.org/officeDocument/2006/relationships/hyperlink" Target="https://arxiv.org/abs/1711.09001" TargetMode="External"/><Relationship Id="rId65" Type="http://schemas.openxmlformats.org/officeDocument/2006/relationships/hyperlink" Target="https://scholar.google.com/scholar?q=%22Natural%20and%20Effective%20Obfuscation%20by%20Head%20Inpainting%22" TargetMode="External"/><Relationship Id="rId66" Type="http://schemas.openxmlformats.org/officeDocument/2006/relationships/hyperlink" Target="https://doi.org/10.1109/CVPRW.2017.173" TargetMode="External"/><Relationship Id="rId67" Type="http://schemas.openxmlformats.org/officeDocument/2006/relationships/hyperlink" Target="https://scholar.google.com/scholar?q=%22I%20Know%20That%20Person%3A%20Generative%20Full%20Body%20and%20Face%20De-identification%20of%20People%20in%20Images%22" TargetMode="External"/><Relationship Id="rId68"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hyperlink" Target="https://arxiv.org/abs/2606.17606" TargetMode="External"/><Relationship Id="rId2" Type="http://schemas.openxmlformats.org/officeDocument/2006/relationships/hyperlink" Target="https://scholar.google.com/scholar?q=%22Flux-Guard%3A%20Facial%20Identity%20Protection%20using%20Diffusion%20Models%22" TargetMode="External"/><Relationship Id="rId3" Type="http://schemas.openxmlformats.org/officeDocument/2006/relationships/hyperlink" Target="https://arxiv.org/abs/2503.10549" TargetMode="External"/><Relationship Id="rId4" Type="http://schemas.openxmlformats.org/officeDocument/2006/relationships/hyperlink" Target="https://scholar.google.com/scholar?q=%22Controllable%20Adversarial%20Makeup%20for%20Privacy%20via%20Text-Guided%20Diffusion%22" TargetMode="External"/><Relationship Id="rId5" Type="http://schemas.openxmlformats.org/officeDocument/2006/relationships/hyperlink" Target="https://github.com/joellliu/DiffProtect" TargetMode="External"/><Relationship Id="rId6" Type="http://schemas.openxmlformats.org/officeDocument/2006/relationships/hyperlink" Target="https://arxiv.org/abs/2305.13625" TargetMode="External"/><Relationship Id="rId7" Type="http://schemas.openxmlformats.org/officeDocument/2006/relationships/hyperlink" Target="https://scholar.google.com/scholar?q=%22DiffProtect%3A%20Generate%20Adversarial%20Examples%20with%20Diffusion%20Models%20for%20Facial%20Privacy%20Protection%22" TargetMode="External"/><Relationship Id="rId8" Type="http://schemas.openxmlformats.org/officeDocument/2006/relationships/hyperlink" Target="https://arxiv.org/abs/2504.21646" TargetMode="External"/><Relationship Id="rId9" Type="http://schemas.openxmlformats.org/officeDocument/2006/relationships/hyperlink" Target="https://scholar.google.com/scholar?q=%22Diffusion-based%20Adversarial%20Identity%20Manipulation%20for%20Facial%20Privacy%20Protection%22" TargetMode="External"/><Relationship Id="rId10" Type="http://schemas.openxmlformats.org/officeDocument/2006/relationships/hyperlink" Target="https://github.com/parham1998/Facial-Privacy-Protection" TargetMode="External"/><Relationship Id="rId11" Type="http://schemas.openxmlformats.org/officeDocument/2006/relationships/hyperlink" Target="https://openaccess.thecvf.com/content/CVPR2025/html/Salar_Enhancing_Facial_Privacy_Protection_via_Weakening_Diffusion_Purification_CVPR_2025_paper.html" TargetMode="External"/><Relationship Id="rId12" Type="http://schemas.openxmlformats.org/officeDocument/2006/relationships/hyperlink" Target="https://scholar.google.com/scholar?q=%22Enhancing%20Facial%20Privacy%20Protection%20via%20Weakening%20Diffusion%20Purification%22" TargetMode="External"/><Relationship Id="rId13" Type="http://schemas.openxmlformats.org/officeDocument/2006/relationships/hyperlink" Target="https://arxiv.org/abs/2508.02034" TargetMode="External"/><Relationship Id="rId14" Type="http://schemas.openxmlformats.org/officeDocument/2006/relationships/hyperlink" Target="https://scholar.google.com/scholar?q=%22Protego%3A%20User-Centric%20Pose-Invariant%20Privacy%20Protection%20Against%20Face%20Recognition-Induced%20Digital%20Footprint%20Exposure%22" TargetMode="External"/><Relationship Id="rId15" Type="http://schemas.openxmlformats.org/officeDocument/2006/relationships/hyperlink" Target="https://github.com/HansSunY/DiffAM" TargetMode="External"/><Relationship Id="rId16" Type="http://schemas.openxmlformats.org/officeDocument/2006/relationships/hyperlink" Target="https://arxiv.org/abs/2405.09882" TargetMode="External"/><Relationship Id="rId17" Type="http://schemas.openxmlformats.org/officeDocument/2006/relationships/hyperlink" Target="https://scholar.google.com/scholar?q=%22DiffAM%3A%20Diffusion-based%20Adversarial%20Makeup%20Transfer%20for%20Facial%20Privacy%20Protection%22" TargetMode="External"/><Relationship Id="rId18" Type="http://schemas.openxmlformats.org/officeDocument/2006/relationships/hyperlink" Target="https://arxiv.org/abs/2407.13975" TargetMode="External"/><Relationship Id="rId19" Type="http://schemas.openxmlformats.org/officeDocument/2006/relationships/hyperlink" Target="https://scholar.google.com/scholar?q=%22Personalized%20Privacy%20Protection%20Mask%20Against%20Unauthorized%20Facial%20Recognition%22" TargetMode="External"/><Relationship Id="rId20" Type="http://schemas.openxmlformats.org/officeDocument/2006/relationships/hyperlink" Target="https://github.com/fahadshamshad/Clip2Protect" TargetMode="External"/><Relationship Id="rId21" Type="http://schemas.openxmlformats.org/officeDocument/2006/relationships/hyperlink" Target="https://arxiv.org/abs/2306.10008" TargetMode="External"/><Relationship Id="rId22" Type="http://schemas.openxmlformats.org/officeDocument/2006/relationships/hyperlink" Target="https://scholar.google.com/scholar?q=%22CLIP2Protect%3A%20Protecting%20Facial%20Privacy%20using%20Text-Guided%20Makeup%20via%20Adversarial%20Latent%20Search%22" TargetMode="External"/><Relationship Id="rId23" Type="http://schemas.openxmlformats.org/officeDocument/2006/relationships/hyperlink" Target="https://github.com/AlonZolfi/AdversarialMask" TargetMode="External"/><Relationship Id="rId24" Type="http://schemas.openxmlformats.org/officeDocument/2006/relationships/hyperlink" Target="https://arxiv.org/abs/2111.10759" TargetMode="External"/><Relationship Id="rId25" Type="http://schemas.openxmlformats.org/officeDocument/2006/relationships/hyperlink" Target="https://scholar.google.com/scholar?q=%22Adversarial%20Mask%3A%20Real-World%20Universal%20Adversarial%20Attack%20on%20Face%20Recognition%20Models%22" TargetMode="External"/><Relationship Id="rId26" Type="http://schemas.openxmlformats.org/officeDocument/2006/relationships/hyperlink" Target="https://github.com/jinyugy21/Adv-Stickers_RHDE" TargetMode="External"/><Relationship Id="rId27" Type="http://schemas.openxmlformats.org/officeDocument/2006/relationships/hyperlink" Target="https://arxiv.org/abs/2104.06728" TargetMode="External"/><Relationship Id="rId28" Type="http://schemas.openxmlformats.org/officeDocument/2006/relationships/hyperlink" Target="https://scholar.google.com/scholar?q=%22Adversarial%20Sticker%3A%20A%20Stealthy%20Attack%20Method%20in%20the%20Physical%20World%22" TargetMode="External"/><Relationship Id="rId29" Type="http://schemas.openxmlformats.org/officeDocument/2006/relationships/hyperlink" Target="https://github.com/zhongyy/OPOM" TargetMode="External"/><Relationship Id="rId30" Type="http://schemas.openxmlformats.org/officeDocument/2006/relationships/hyperlink" Target="https://arxiv.org/abs/2205.11981" TargetMode="External"/><Relationship Id="rId31" Type="http://schemas.openxmlformats.org/officeDocument/2006/relationships/hyperlink" Target="https://scholar.google.com/scholar?q=%22OPOM%3A%20Customized%20Invisible%20Cloak%20towards%20Face%20Privacy%20Protection%22" TargetMode="External"/><Relationship Id="rId32" Type="http://schemas.openxmlformats.org/officeDocument/2006/relationships/hyperlink" Target="https://github.com/CGCL-codes/AMT-GAN" TargetMode="External"/><Relationship Id="rId33" Type="http://schemas.openxmlformats.org/officeDocument/2006/relationships/hyperlink" Target="https://arxiv.org/abs/2203.03121" TargetMode="External"/><Relationship Id="rId34" Type="http://schemas.openxmlformats.org/officeDocument/2006/relationships/hyperlink" Target="https://scholar.google.com/scholar?q=%22Protecting%20Facial%20Privacy%3A%20Generating%20Adversarial%20Identity%20Masks%20via%20Style-Robust%20Makeup%20Transfer%22" TargetMode="External"/><Relationship Id="rId35" Type="http://schemas.openxmlformats.org/officeDocument/2006/relationships/hyperlink" Target="https://doi.org/10.2478/popets-2022-0008" TargetMode="External"/><Relationship Id="rId36" Type="http://schemas.openxmlformats.org/officeDocument/2006/relationships/hyperlink" Target="https://scholar.google.com/scholar?q=%22Ulixes%3A%20Facial%20Recognition%20Privacy%20with%20Adversarial%20Machine%20Learning%22" TargetMode="External"/><Relationship Id="rId37" Type="http://schemas.openxmlformats.org/officeDocument/2006/relationships/hyperlink" Target="https://github.com/TencentYoutuResearch/Adv-Makeup" TargetMode="External"/><Relationship Id="rId38" Type="http://schemas.openxmlformats.org/officeDocument/2006/relationships/hyperlink" Target="https://arxiv.org/abs/2105.03162" TargetMode="External"/><Relationship Id="rId39" Type="http://schemas.openxmlformats.org/officeDocument/2006/relationships/hyperlink" Target="https://scholar.google.com/scholar?q=%22Adv-Makeup%3A%20A%20New%20Imperceptible%20and%20Transferable%20Attack%20on%20Face%20Recognition%22" TargetMode="External"/><Relationship Id="rId40" Type="http://schemas.openxmlformats.org/officeDocument/2006/relationships/hyperlink" Target="https://github.com/wi-pi/face-off" TargetMode="External"/><Relationship Id="rId41" Type="http://schemas.openxmlformats.org/officeDocument/2006/relationships/hyperlink" Target="https://doi.org/10.2478/popets-2021-0032" TargetMode="External"/><Relationship Id="rId42" Type="http://schemas.openxmlformats.org/officeDocument/2006/relationships/hyperlink" Target="https://scholar.google.com/scholar?q=%22Face-Off%3A%20Adversarial%20Face%20Obfuscation%22" TargetMode="External"/><Relationship Id="rId43" Type="http://schemas.openxmlformats.org/officeDocument/2006/relationships/hyperlink" Target="https://github.com/evtimovi/foggysight" TargetMode="External"/><Relationship Id="rId44" Type="http://schemas.openxmlformats.org/officeDocument/2006/relationships/hyperlink" Target="https://doi.org/10.2478/popets-2021-0044" TargetMode="External"/><Relationship Id="rId45" Type="http://schemas.openxmlformats.org/officeDocument/2006/relationships/hyperlink" Target="https://scholar.google.com/scholar?q=%22FoggySight%3A%20A%20Scheme%20for%20Facial%20Lookup%20Privacy%22" TargetMode="External"/><Relationship Id="rId46" Type="http://schemas.openxmlformats.org/officeDocument/2006/relationships/hyperlink" Target="https://arxiv.org/abs/2106.15058" TargetMode="External"/><Relationship Id="rId47" Type="http://schemas.openxmlformats.org/officeDocument/2006/relationships/hyperlink" Target="https://scholar.google.com/scholar?q=%22Improving%20Transferability%20of%20Adversarial%20Patches%20on%20Face%20Recognition%20with%20Generative%20Models%22" TargetMode="External"/><Relationship Id="rId48" Type="http://schemas.openxmlformats.org/officeDocument/2006/relationships/hyperlink" Target="https://lowkey.umiacs.umd.edu/" TargetMode="External"/><Relationship Id="rId49" Type="http://schemas.openxmlformats.org/officeDocument/2006/relationships/hyperlink" Target="https://arxiv.org/abs/2101.07922" TargetMode="External"/><Relationship Id="rId50" Type="http://schemas.openxmlformats.org/officeDocument/2006/relationships/hyperlink" Target="https://scholar.google.com/scholar?q=%22LowKey%3A%20Leveraging%20Adversarial%20Attacks%20to%20Protect%20Social%20Media%20Users%20from%20Facial%20Recognition%22" TargetMode="External"/><Relationship Id="rId51" Type="http://schemas.openxmlformats.org/officeDocument/2006/relationships/hyperlink" Target="https://doi.org/10.2478/popets-2021-0006" TargetMode="External"/><Relationship Id="rId52" Type="http://schemas.openxmlformats.org/officeDocument/2006/relationships/hyperlink" Target="https://scholar.google.com/scholar?q=%22On%20the%20%28Im%29Practicality%20of%20Adversarial%20Perturbation%20for%20Image%20Privacy%22" TargetMode="External"/><Relationship Id="rId53" Type="http://schemas.openxmlformats.org/officeDocument/2006/relationships/hyperlink" Target="https://github.com/ShawnXYang/TIP-IM" TargetMode="External"/><Relationship Id="rId54" Type="http://schemas.openxmlformats.org/officeDocument/2006/relationships/hyperlink" Target="https://arxiv.org/abs/2003.06814" TargetMode="External"/><Relationship Id="rId55" Type="http://schemas.openxmlformats.org/officeDocument/2006/relationships/hyperlink" Target="https://scholar.google.com/scholar?q=%22Towards%20Face%20Encryption%20by%20Generating%20Adversarial%20Identity%20Masks%22" TargetMode="External"/><Relationship Id="rId56" Type="http://schemas.openxmlformats.org/officeDocument/2006/relationships/hyperlink" Target="https://arxiv.org/abs/1908.05008" TargetMode="External"/><Relationship Id="rId57" Type="http://schemas.openxmlformats.org/officeDocument/2006/relationships/hyperlink" Target="https://scholar.google.com/scholar?q=%22AdvFaces%3A%20Adversarial%20Face%20Synthesis%22" TargetMode="External"/><Relationship Id="rId58" Type="http://schemas.openxmlformats.org/officeDocument/2006/relationships/hyperlink" Target="https://github.com/papermsucode/advhat" TargetMode="External"/><Relationship Id="rId59" Type="http://schemas.openxmlformats.org/officeDocument/2006/relationships/hyperlink" Target="https://arxiv.org/abs/1908.08705" TargetMode="External"/><Relationship Id="rId60" Type="http://schemas.openxmlformats.org/officeDocument/2006/relationships/hyperlink" Target="https://scholar.google.com/scholar?q=%22AdvHat%3A%20Real-World%20Adversarial%20Attack%20on%20ArcFace%20Face%20ID%20System%22" TargetMode="External"/><Relationship Id="rId61" Type="http://schemas.openxmlformats.org/officeDocument/2006/relationships/hyperlink" Target="https://github.com/Shawn-Shan/fawkes" TargetMode="External"/><Relationship Id="rId62" Type="http://schemas.openxmlformats.org/officeDocument/2006/relationships/hyperlink" Target="https://arxiv.org/abs/2002.08327" TargetMode="External"/><Relationship Id="rId63" Type="http://schemas.openxmlformats.org/officeDocument/2006/relationships/hyperlink" Target="https://scholar.google.com/scholar?q=%22Fawkes%3A%20Protecting%20Privacy%20against%20Unauthorized%20Deep%20Learning%20Models%22" TargetMode="External"/><Relationship Id="rId64" Type="http://schemas.openxmlformats.org/officeDocument/2006/relationships/hyperlink" Target="https://arxiv.org/abs/1801.00349" TargetMode="External"/><Relationship Id="rId65" Type="http://schemas.openxmlformats.org/officeDocument/2006/relationships/hyperlink" Target="https://scholar.google.com/scholar?q=%22A%20General%20Framework%20for%20Adversarial%20Examples%20with%20Objectives%22" TargetMode="External"/><Relationship Id="rId66" Type="http://schemas.openxmlformats.org/officeDocument/2006/relationships/hyperlink" Target="https://arxiv.org/abs/1803.04683" TargetMode="External"/><Relationship Id="rId67" Type="http://schemas.openxmlformats.org/officeDocument/2006/relationships/hyperlink" Target="https://scholar.google.com/scholar?q=%22Invisible%20Mask%3A%20Practical%20Attacks%20on%20Face%20Recognition%20with%20Infrared%22" TargetMode="External"/><Relationship Id="rId68" Type="http://schemas.openxmlformats.org/officeDocument/2006/relationships/hyperlink" Target="https://arxiv.org/abs/1703.09471" TargetMode="External"/><Relationship Id="rId69" Type="http://schemas.openxmlformats.org/officeDocument/2006/relationships/hyperlink" Target="https://scholar.google.com/scholar?q=%22Adversarial%20Image%20Perturbation%20for%20Privacy%20Protection%3A%20A%20Game%20Theory%20Perspective%22" TargetMode="External"/><Relationship Id="rId70" Type="http://schemas.openxmlformats.org/officeDocument/2006/relationships/hyperlink" Target="https://doi.org/10.1145/2976749.2978392" TargetMode="External"/><Relationship Id="rId71" Type="http://schemas.openxmlformats.org/officeDocument/2006/relationships/hyperlink" Target="https://scholar.google.com/scholar?q=%22Accessorize%20to%20a%20Crime%3A%20Real%20and%20Stealthy%20Attacks%20on%20State-of-the-Art%20Face%20Recognition%22" TargetMode="External"/><Relationship Id="rId72" Type="http://schemas.openxmlformats.org/officeDocument/2006/relationships/hyperlink" Target="https://www.reflectacles.com/" TargetMode="External"/><Relationship Id="rId73" Type="http://schemas.openxmlformats.org/officeDocument/2006/relationships/hyperlink" Target="https://scholar.google.com/scholar?q=%22Reflectacles%3A%20IR-blocking%20and%20reflective%20privacy%20eyewear%22" TargetMode="External"/><Relationship Id="rId74" Type="http://schemas.openxmlformats.org/officeDocument/2006/relationships/hyperlink" Target="https://cvdazzle.com/" TargetMode="External"/><Relationship Id="rId75" Type="http://schemas.openxmlformats.org/officeDocument/2006/relationships/hyperlink" Target="https://scholar.google.com/scholar?q=%22CV%20Dazzle%3A%20Camouflage%20from%20Face%20Detection%22" TargetMode="External"/><Relationship Id="rId76"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hyperlink" Target="https://arxiv.org/abs/2412.11638" TargetMode="External"/><Relationship Id="rId2" Type="http://schemas.openxmlformats.org/officeDocument/2006/relationships/hyperlink" Target="https://scholar.google.com/scholar?q=%22IDProtector%3A%20An%20Adversarial%20Noise%20Encoder%20to%20Protect%20Against%20ID-Preserving%20Image%20Generation%22" TargetMode="External"/><Relationship Id="rId3" Type="http://schemas.openxmlformats.org/officeDocument/2006/relationships/hyperlink" Target="https://arxiv.org/abs/2411.16832" TargetMode="External"/><Relationship Id="rId4" Type="http://schemas.openxmlformats.org/officeDocument/2006/relationships/hyperlink" Target="https://scholar.google.com/scholar?q=%22Edit%20Away%20and%20My%20Face%20Will%20Not%20Stay%3A%20Personal%20Biometric%20Defense%20against%20Malicious%20Generative%20Editing%22" TargetMode="External"/><Relationship Id="rId5" Type="http://schemas.openxmlformats.org/officeDocument/2006/relationships/hyperlink" Target="https://github.com/liuyixin-louis/MetaCloak" TargetMode="External"/><Relationship Id="rId6" Type="http://schemas.openxmlformats.org/officeDocument/2006/relationships/hyperlink" Target="https://arxiv.org/abs/2311.13127" TargetMode="External"/><Relationship Id="rId7" Type="http://schemas.openxmlformats.org/officeDocument/2006/relationships/hyperlink" Target="https://scholar.google.com/scholar?q=%22MetaCloak%3A%20Preventing%20Unauthorized%20Subject-Driven%20Text-to-Image%20Diffusion-Based%20Synthesis%20via%20Meta-Learning%22" TargetMode="External"/><Relationship Id="rId8" Type="http://schemas.openxmlformats.org/officeDocument/2006/relationships/hyperlink" Target="https://arxiv.org/abs/2310.13828" TargetMode="External"/><Relationship Id="rId9" Type="http://schemas.openxmlformats.org/officeDocument/2006/relationships/hyperlink" Target="https://scholar.google.com/scholar?q=%22Nightshade%3A%20Prompt-Specific%20Poisoning%20Attacks%20on%20Text-to-Image%20Generative%20Models%22" TargetMode="External"/><Relationship Id="rId10" Type="http://schemas.openxmlformats.org/officeDocument/2006/relationships/hyperlink" Target="https://arxiv.org/abs/2404.15081" TargetMode="External"/><Relationship Id="rId11" Type="http://schemas.openxmlformats.org/officeDocument/2006/relationships/hyperlink" Target="https://scholar.google.com/scholar?q=%22Perturbing%20Attention%20Gives%20You%20More%20Bang%20for%20the%20Buck%3A%20Subtle%20Imaging%20Perturbations%20That%20Efficiently%20Fool%20Customized%20Diffusion%20Models%22" TargetMode="External"/><Relationship Id="rId12" Type="http://schemas.openxmlformats.org/officeDocument/2006/relationships/hyperlink" Target="https://github.com/somuchtome/SimAC" TargetMode="External"/><Relationship Id="rId13" Type="http://schemas.openxmlformats.org/officeDocument/2006/relationships/hyperlink" Target="https://arxiv.org/abs/2312.07865" TargetMode="External"/><Relationship Id="rId14" Type="http://schemas.openxmlformats.org/officeDocument/2006/relationships/hyperlink" Target="https://scholar.google.com/scholar?q=%22SimAC%3A%20A%20Simple%20Anti-Customization%20Method%20for%20Protecting%20Face%20Privacy%20against%20Text-to-Image%20Synthesis%20of%20Diffusion%20Models%22" TargetMode="External"/><Relationship Id="rId15" Type="http://schemas.openxmlformats.org/officeDocument/2006/relationships/hyperlink" Target="https://github.com/mist-project/mist" TargetMode="External"/><Relationship Id="rId16" Type="http://schemas.openxmlformats.org/officeDocument/2006/relationships/hyperlink" Target="https://arxiv.org/abs/2302.04578" TargetMode="External"/><Relationship Id="rId17" Type="http://schemas.openxmlformats.org/officeDocument/2006/relationships/hyperlink" Target="https://scholar.google.com/scholar?q=%22Adversarial%20Example%20Does%20Good%3A%20Preventing%20Painting%20Imitation%20from%20Diffusion%20Models%20via%20Adversarial%20Examples%22" TargetMode="External"/><Relationship Id="rId18" Type="http://schemas.openxmlformats.org/officeDocument/2006/relationships/hyperlink" Target="https://github.com/VinAIResearch/Anti-DreamBooth" TargetMode="External"/><Relationship Id="rId19" Type="http://schemas.openxmlformats.org/officeDocument/2006/relationships/hyperlink" Target="https://arxiv.org/abs/2303.15433" TargetMode="External"/><Relationship Id="rId20" Type="http://schemas.openxmlformats.org/officeDocument/2006/relationships/hyperlink" Target="https://scholar.google.com/scholar?q=%22Anti-DreamBooth%3A%20Protecting%20Users%20from%20Personalized%20Text-to-Image%20Synthesis%22" TargetMode="External"/><Relationship Id="rId21" Type="http://schemas.openxmlformats.org/officeDocument/2006/relationships/hyperlink" Target="https://github.com/vinusankars/Convolution-based-Unlearnability" TargetMode="External"/><Relationship Id="rId22" Type="http://schemas.openxmlformats.org/officeDocument/2006/relationships/hyperlink" Target="https://arxiv.org/abs/2303.04278" TargetMode="External"/><Relationship Id="rId23" Type="http://schemas.openxmlformats.org/officeDocument/2006/relationships/hyperlink" Target="https://scholar.google.com/scholar?q=%22CUDA%3A%20Convolution-based%20Unlearnable%20Datasets%22" TargetMode="External"/><Relationship Id="rId24" Type="http://schemas.openxmlformats.org/officeDocument/2006/relationships/hyperlink" Target="https://arxiv.org/abs/2302.04222" TargetMode="External"/><Relationship Id="rId25" Type="http://schemas.openxmlformats.org/officeDocument/2006/relationships/hyperlink" Target="https://scholar.google.com/scholar?q=%22Glaze%3A%20Protecting%20Artists%20from%20Style%20Mimicry%20by%20Text-to-Image%20Models%22" TargetMode="External"/><Relationship Id="rId26" Type="http://schemas.openxmlformats.org/officeDocument/2006/relationships/hyperlink" Target="https://github.com/cychomatica/One-Pixel-Shotcut" TargetMode="External"/><Relationship Id="rId27" Type="http://schemas.openxmlformats.org/officeDocument/2006/relationships/hyperlink" Target="https://arxiv.org/abs/2205.12141" TargetMode="External"/><Relationship Id="rId28" Type="http://schemas.openxmlformats.org/officeDocument/2006/relationships/hyperlink" Target="https://scholar.google.com/scholar?q=%22One-Pixel%20Shortcut%3A%20On%20the%20Learning%20Preference%20of%20Deep%20Neural%20Networks%22" TargetMode="External"/><Relationship Id="rId29" Type="http://schemas.openxmlformats.org/officeDocument/2006/relationships/hyperlink" Target="https://github.com/MadryLab/photoguard" TargetMode="External"/><Relationship Id="rId30" Type="http://schemas.openxmlformats.org/officeDocument/2006/relationships/hyperlink" Target="https://arxiv.org/abs/2302.06588" TargetMode="External"/><Relationship Id="rId31" Type="http://schemas.openxmlformats.org/officeDocument/2006/relationships/hyperlink" Target="https://scholar.google.com/scholar?q=%22Raising%20the%20Cost%20of%20Malicious%20AI-Powered%20Image%20Editing%22" TargetMode="External"/><Relationship Id="rId32" Type="http://schemas.openxmlformats.org/officeDocument/2006/relationships/hyperlink" Target="https://arxiv.org/abs/2210.10114" TargetMode="External"/><Relationship Id="rId33" Type="http://schemas.openxmlformats.org/officeDocument/2006/relationships/hyperlink" Target="https://scholar.google.com/scholar?q=%22Transferable%20Unlearnable%20Examples%22" TargetMode="External"/><Relationship Id="rId34" Type="http://schemas.openxmlformats.org/officeDocument/2006/relationships/hyperlink" Target="https://github.com/jiamingzhang94/Unlearnable-Clusters" TargetMode="External"/><Relationship Id="rId35" Type="http://schemas.openxmlformats.org/officeDocument/2006/relationships/hyperlink" Target="https://arxiv.org/abs/2301.01217" TargetMode="External"/><Relationship Id="rId36" Type="http://schemas.openxmlformats.org/officeDocument/2006/relationships/hyperlink" Target="https://scholar.google.com/scholar?q=%22Unlearnable%20Clusters%3A%20Towards%20Label-Agnostic%20Unlearnable%20Examples%22" TargetMode="External"/><Relationship Id="rId37" Type="http://schemas.openxmlformats.org/officeDocument/2006/relationships/hyperlink" Target="https://github.com/psandovalsegura/autoregressive-poisoning" TargetMode="External"/><Relationship Id="rId38" Type="http://schemas.openxmlformats.org/officeDocument/2006/relationships/hyperlink" Target="https://arxiv.org/abs/2206.03693" TargetMode="External"/><Relationship Id="rId39" Type="http://schemas.openxmlformats.org/officeDocument/2006/relationships/hyperlink" Target="https://scholar.google.com/scholar?q=%22Autoregressive%20Perturbations%20for%20Data%20Poisoning%22" TargetMode="External"/><Relationship Id="rId40" Type="http://schemas.openxmlformats.org/officeDocument/2006/relationships/hyperlink" Target="https://github.com/dayu11/Availability-Attacks-Create-Shortcuts" TargetMode="External"/><Relationship Id="rId41" Type="http://schemas.openxmlformats.org/officeDocument/2006/relationships/hyperlink" Target="https://arxiv.org/abs/2111.00898" TargetMode="External"/><Relationship Id="rId42" Type="http://schemas.openxmlformats.org/officeDocument/2006/relationships/hyperlink" Target="https://scholar.google.com/scholar?q=%22Availability%20Attacks%20Create%20Shortcuts%22" TargetMode="External"/><Relationship Id="rId43" Type="http://schemas.openxmlformats.org/officeDocument/2006/relationships/hyperlink" Target="https://github.com/fshp971/robust-unlearnable-examples" TargetMode="External"/><Relationship Id="rId44" Type="http://schemas.openxmlformats.org/officeDocument/2006/relationships/hyperlink" Target="https://arxiv.org/abs/2203.14533" TargetMode="External"/><Relationship Id="rId45" Type="http://schemas.openxmlformats.org/officeDocument/2006/relationships/hyperlink" Target="https://scholar.google.com/scholar?q=%22Robust%20Unlearnable%20Examples%3A%20Protecting%20Data%20Against%20Adversarial%20Learning%22" TargetMode="External"/><Relationship Id="rId46" Type="http://schemas.openxmlformats.org/officeDocument/2006/relationships/hyperlink" Target="https://github.com/lhfowl/adversarial_poisons" TargetMode="External"/><Relationship Id="rId47" Type="http://schemas.openxmlformats.org/officeDocument/2006/relationships/hyperlink" Target="https://arxiv.org/abs/2106.10807" TargetMode="External"/><Relationship Id="rId48" Type="http://schemas.openxmlformats.org/officeDocument/2006/relationships/hyperlink" Target="https://scholar.google.com/scholar?q=%22Adversarial%20Examples%20Make%20Strong%20Poisons%22" TargetMode="External"/><Relationship Id="rId49" Type="http://schemas.openxmlformats.org/officeDocument/2006/relationships/hyperlink" Target="https://github.com/HanxunH/Unlearnable-Examples" TargetMode="External"/><Relationship Id="rId50" Type="http://schemas.openxmlformats.org/officeDocument/2006/relationships/hyperlink" Target="https://arxiv.org/abs/2101.04898" TargetMode="External"/><Relationship Id="rId51" Type="http://schemas.openxmlformats.org/officeDocument/2006/relationships/hyperlink" Target="https://scholar.google.com/scholar?q=%22Unlearnable%20Examples%3A%20Making%20Personal%20Data%20Unexploitable%22" TargetMode="External"/><Relationship Id="rId52"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hyperlink" Target="https://github.com/SHI-Labs/Forget-Me-Not" TargetMode="External"/><Relationship Id="rId2" Type="http://schemas.openxmlformats.org/officeDocument/2006/relationships/hyperlink" Target="https://arxiv.org/abs/2303.17591" TargetMode="External"/><Relationship Id="rId3" Type="http://schemas.openxmlformats.org/officeDocument/2006/relationships/hyperlink" Target="https://scholar.google.com/scholar?q=%22Forget-Me-Not%3A%20Learning%20to%20Forget%20in%20Text-to-Image%20Diffusion%20Models%22" TargetMode="External"/><Relationship Id="rId4" Type="http://schemas.openxmlformats.org/officeDocument/2006/relationships/hyperlink" Target="https://github.com/JJuOn/GUIDE" TargetMode="External"/><Relationship Id="rId5" Type="http://schemas.openxmlformats.org/officeDocument/2006/relationships/hyperlink" Target="https://arxiv.org/abs/2405.09879" TargetMode="External"/><Relationship Id="rId6" Type="http://schemas.openxmlformats.org/officeDocument/2006/relationships/hyperlink" Target="https://scholar.google.com/scholar?q=%22Generative%20Unlearning%20for%20Any%20Identity%22" TargetMode="External"/><Relationship Id="rId7" Type="http://schemas.openxmlformats.org/officeDocument/2006/relationships/hyperlink" Target="https://arxiv.org/abs/2402.09225" TargetMode="External"/><Relationship Id="rId8" Type="http://schemas.openxmlformats.org/officeDocument/2006/relationships/hyperlink" Target="https://scholar.google.com/scholar?q=%22Is%20My%20Data%20in%20Your%20AI%20Model%3F%20Membership%20Inference%20Test%20with%20Application%20to%20Face%20Images%22" TargetMode="External"/><Relationship Id="rId9" Type="http://schemas.openxmlformats.org/officeDocument/2006/relationships/hyperlink" Target="https://github.com/OPTML-Group/Unlearn-Saliency" TargetMode="External"/><Relationship Id="rId10" Type="http://schemas.openxmlformats.org/officeDocument/2006/relationships/hyperlink" Target="https://arxiv.org/abs/2310.12508" TargetMode="External"/><Relationship Id="rId11" Type="http://schemas.openxmlformats.org/officeDocument/2006/relationships/hyperlink" Target="https://scholar.google.com/scholar?q=%22SalUn%3A%20Empowering%20Machine%20Unlearning%20via%20Gradient-Based%20Weight%20Saliency%20in%20Both%20Image%20Classification%20and%20Generation%22" TargetMode="External"/><Relationship Id="rId12" Type="http://schemas.openxmlformats.org/officeDocument/2006/relationships/hyperlink" Target="https://github.com/nupurkmr9/concept-ablation" TargetMode="External"/><Relationship Id="rId13" Type="http://schemas.openxmlformats.org/officeDocument/2006/relationships/hyperlink" Target="https://arxiv.org/abs/2303.13516" TargetMode="External"/><Relationship Id="rId14" Type="http://schemas.openxmlformats.org/officeDocument/2006/relationships/hyperlink" Target="https://scholar.google.com/scholar?q=%22Ablating%20Concepts%20in%20Text-to-Image%20Diffusion%20Models%22" TargetMode="External"/><Relationship Id="rId15" Type="http://schemas.openxmlformats.org/officeDocument/2006/relationships/hyperlink" Target="https://arxiv.org/abs/2303.11570" TargetMode="External"/><Relationship Id="rId16" Type="http://schemas.openxmlformats.org/officeDocument/2006/relationships/hyperlink" Target="https://scholar.google.com/scholar?q=%22Boundary%20Unlearning%3A%20Rapid%20Forgetting%20of%20Deep%20Networks%20via%20Shifting%20the%20Decision%20Boundary%22" TargetMode="External"/><Relationship Id="rId17" Type="http://schemas.openxmlformats.org/officeDocument/2006/relationships/hyperlink" Target="https://github.com/vikram2000b/bad-teaching-unlearning" TargetMode="External"/><Relationship Id="rId18" Type="http://schemas.openxmlformats.org/officeDocument/2006/relationships/hyperlink" Target="https://arxiv.org/abs/2205.08096" TargetMode="External"/><Relationship Id="rId19" Type="http://schemas.openxmlformats.org/officeDocument/2006/relationships/hyperlink" Target="https://scholar.google.com/scholar?q=%22Can%20Bad%20Teaching%20Induce%20Forgetting%3F%20Unlearning%20in%20Deep%20Networks%20Using%20an%20Incompetent%20Teacher%22" TargetMode="External"/><Relationship Id="rId20" Type="http://schemas.openxmlformats.org/officeDocument/2006/relationships/hyperlink" Target="https://github.com/rohitgandikota/erasing" TargetMode="External"/><Relationship Id="rId21" Type="http://schemas.openxmlformats.org/officeDocument/2006/relationships/hyperlink" Target="https://arxiv.org/abs/2303.07345" TargetMode="External"/><Relationship Id="rId22" Type="http://schemas.openxmlformats.org/officeDocument/2006/relationships/hyperlink" Target="https://scholar.google.com/scholar?q=%22Erasing%20Concepts%20from%20Diffusion%20Models%22" TargetMode="External"/><Relationship Id="rId23" Type="http://schemas.openxmlformats.org/officeDocument/2006/relationships/hyperlink" Target="https://github.com/MinChen00/Face-Auditor" TargetMode="External"/><Relationship Id="rId24" Type="http://schemas.openxmlformats.org/officeDocument/2006/relationships/hyperlink" Target="https://arxiv.org/abs/2304.02782" TargetMode="External"/><Relationship Id="rId25" Type="http://schemas.openxmlformats.org/officeDocument/2006/relationships/hyperlink" Target="https://scholar.google.com/scholar?q=%22FACE-AUDITOR%3A%20Data%20Auditing%20in%20Facial%20Recognition%20Systems%22" TargetMode="External"/><Relationship Id="rId26" Type="http://schemas.openxmlformats.org/officeDocument/2006/relationships/hyperlink" Target="https://github.com/clear-nus/selective-amnesia" TargetMode="External"/><Relationship Id="rId27" Type="http://schemas.openxmlformats.org/officeDocument/2006/relationships/hyperlink" Target="https://arxiv.org/abs/2305.10120" TargetMode="External"/><Relationship Id="rId28" Type="http://schemas.openxmlformats.org/officeDocument/2006/relationships/hyperlink" Target="https://scholar.google.com/scholar?q=%22Selective%20Amnesia%3A%20A%20Continual%20Learning%20Approach%20to%20Forgetting%20in%20Deep%20Generative%20Models%22" TargetMode="External"/><Relationship Id="rId29" Type="http://schemas.openxmlformats.org/officeDocument/2006/relationships/hyperlink" Target="https://github.com/meghdadk/SCRUB" TargetMode="External"/><Relationship Id="rId30" Type="http://schemas.openxmlformats.org/officeDocument/2006/relationships/hyperlink" Target="https://arxiv.org/abs/2302.09880" TargetMode="External"/><Relationship Id="rId31" Type="http://schemas.openxmlformats.org/officeDocument/2006/relationships/hyperlink" Target="https://scholar.google.com/scholar?q=%22Towards%20Unbounded%20Machine%20Unlearning%22" TargetMode="External"/><Relationship Id="rId32" Type="http://schemas.openxmlformats.org/officeDocument/2006/relationships/hyperlink" Target="https://arxiv.org/abs/2201.05629" TargetMode="External"/><Relationship Id="rId33" Type="http://schemas.openxmlformats.org/officeDocument/2006/relationships/hyperlink" Target="https://scholar.google.com/scholar?q=%22Zero-Shot%20Machine%20Unlearning%22" TargetMode="External"/><Relationship Id="rId34" Type="http://schemas.openxmlformats.org/officeDocument/2006/relationships/hyperlink" Target="https://github.com/tamlhp/awesome-machine-unlearning" TargetMode="External"/><Relationship Id="rId35" Type="http://schemas.openxmlformats.org/officeDocument/2006/relationships/hyperlink" Target="https://arxiv.org/abs/2209.02299" TargetMode="External"/><Relationship Id="rId36" Type="http://schemas.openxmlformats.org/officeDocument/2006/relationships/hyperlink" Target="https://scholar.google.com/scholar?q=%22A%20Survey%20of%20Machine%20Unlearning%22" TargetMode="External"/><Relationship Id="rId37" Type="http://schemas.openxmlformats.org/officeDocument/2006/relationships/hyperlink" Target="https://github.com/cleverhans-lab/machine-unlearning" TargetMode="External"/><Relationship Id="rId38" Type="http://schemas.openxmlformats.org/officeDocument/2006/relationships/hyperlink" Target="https://arxiv.org/abs/1912.03817" TargetMode="External"/><Relationship Id="rId39" Type="http://schemas.openxmlformats.org/officeDocument/2006/relationships/hyperlink" Target="https://scholar.google.com/scholar?q=%22Machine%20Unlearning%22" TargetMode="External"/><Relationship Id="rId40" Type="http://schemas.openxmlformats.org/officeDocument/2006/relationships/hyperlink" Target="https://github.com/AdityaGolatkar/SelectiveForgetting" TargetMode="External"/><Relationship Id="rId41" Type="http://schemas.openxmlformats.org/officeDocument/2006/relationships/hyperlink" Target="https://arxiv.org/abs/1911.04933" TargetMode="External"/><Relationship Id="rId42" Type="http://schemas.openxmlformats.org/officeDocument/2006/relationships/hyperlink" Target="https://scholar.google.com/scholar?q=%22Eternal%20Sunshine%20of%20the%20Spotless%20Net%3A%20Selective%20Forgetting%20in%20Deep%20Networks%22" TargetMode="External"/><Relationship Id="rId43" Type="http://schemas.openxmlformats.org/officeDocument/2006/relationships/hyperlink" Target="https://github.com/AdityaGolatkar/SelectiveForgetting" TargetMode="External"/><Relationship Id="rId44" Type="http://schemas.openxmlformats.org/officeDocument/2006/relationships/hyperlink" Target="https://arxiv.org/abs/2003.02960" TargetMode="External"/><Relationship Id="rId45" Type="http://schemas.openxmlformats.org/officeDocument/2006/relationships/hyperlink" Target="https://scholar.google.com/scholar?q=%22Forgetting%20Outside%20the%20Box%3A%20Scrubbing%20Deep%20Networks%20of%20Information%20Accessible%20from%20Input-Output%20Observations%22" TargetMode="External"/><Relationship Id="rId46" Type="http://schemas.openxmlformats.org/officeDocument/2006/relationships/hyperlink" Target="https://arxiv.org/abs/1610.05820" TargetMode="External"/><Relationship Id="rId47" Type="http://schemas.openxmlformats.org/officeDocument/2006/relationships/hyperlink" Target="https://scholar.google.com/scholar?q=%22Membership%20Inference%20Attacks%20Against%20Machine%20Learning%20Models%22" TargetMode="External"/><Relationship Id="rId48" Type="http://schemas.openxmlformats.org/officeDocument/2006/relationships/hyperlink" Target="https://doi.org/10.1109/SP.2015.35" TargetMode="External"/><Relationship Id="rId49" Type="http://schemas.openxmlformats.org/officeDocument/2006/relationships/hyperlink" Target="https://scholar.google.com/scholar?q=%22Towards%20Making%20Systems%20Forget%20with%20Machine%20Unlearning%22" TargetMode="External"/><Relationship Id="rId50"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hyperlink" Target="https://github.com/nv-tlabs/DP-Diffusion" TargetMode="External"/><Relationship Id="rId2" Type="http://schemas.openxmlformats.org/officeDocument/2006/relationships/hyperlink" Target="https://arxiv.org/abs/2210.09929" TargetMode="External"/><Relationship Id="rId3" Type="http://schemas.openxmlformats.org/officeDocument/2006/relationships/hyperlink" Target="https://scholar.google.com/scholar?q=%22Differentially%20Private%20Diffusion%20Models%22" TargetMode="External"/><Relationship Id="rId4" Type="http://schemas.openxmlformats.org/officeDocument/2006/relationships/hyperlink" Target="https://arxiv.org/abs/2302.13861" TargetMode="External"/><Relationship Id="rId5" Type="http://schemas.openxmlformats.org/officeDocument/2006/relationships/hyperlink" Target="https://scholar.google.com/scholar?q=%22Differentially%20Private%20Diffusion%20Models%20Generate%20Useful%20Synthetic%20Images%22" TargetMode="External"/><Relationship Id="rId6" Type="http://schemas.openxmlformats.org/officeDocument/2006/relationships/hyperlink" Target="https://doi.org/10.1016/j.future.2021.11.032" TargetMode="External"/><Relationship Id="rId7" Type="http://schemas.openxmlformats.org/officeDocument/2006/relationships/hyperlink" Target="https://scholar.google.com/scholar?q=%22Differentially%20Private%20Facial%20Obfuscation%20via%20Generative%20Adversarial%20Networks%22" TargetMode="External"/><Relationship Id="rId8" Type="http://schemas.openxmlformats.org/officeDocument/2006/relationships/hyperlink" Target="https://arxiv.org/abs/2103.01745" TargetMode="External"/><Relationship Id="rId9" Type="http://schemas.openxmlformats.org/officeDocument/2006/relationships/hyperlink" Target="https://scholar.google.com/scholar?q=%22IdentityDP%3A%20Differential%20Private%20Identification%20Protection%20for%20Face%20Images%22" TargetMode="External"/><Relationship Id="rId10" Type="http://schemas.openxmlformats.org/officeDocument/2006/relationships/hyperlink" Target="https://arxiv.org/abs/2103.07073" TargetMode="External"/><Relationship Id="rId11" Type="http://schemas.openxmlformats.org/officeDocument/2006/relationships/hyperlink" Target="https://scholar.google.com/scholar?q=%22DP-Image%3A%20Differential%20Privacy%20for%20Image%20Data%20in%20Feature%20Space%22" TargetMode="External"/><Relationship Id="rId12" Type="http://schemas.openxmlformats.org/officeDocument/2006/relationships/hyperlink" Target="https://doi.org/10.1007/s12083-021-01091-9" TargetMode="External"/><Relationship Id="rId13" Type="http://schemas.openxmlformats.org/officeDocument/2006/relationships/hyperlink" Target="https://scholar.google.com/scholar?q=%22Obfuscation%20of%20Images%20via%20Differential%20Privacy%3A%20From%20Facial%20Images%20to%20General%20Images%22" TargetMode="External"/><Relationship Id="rId14" Type="http://schemas.openxmlformats.org/officeDocument/2006/relationships/hyperlink" Target="https://doi.org/10.1016/j.cose.2020.101951" TargetMode="External"/><Relationship Id="rId15" Type="http://schemas.openxmlformats.org/officeDocument/2006/relationships/hyperlink" Target="https://scholar.google.com/scholar?q=%22Privacy%20Preserving%20Face%20Recognition%20Utilizing%20Differential%20Privacy%22" TargetMode="External"/><Relationship Id="rId16" Type="http://schemas.openxmlformats.org/officeDocument/2006/relationships/hyperlink" Target="https://doi.org/10.1007/978-3-030-29726-8_15" TargetMode="External"/><Relationship Id="rId17" Type="http://schemas.openxmlformats.org/officeDocument/2006/relationships/hyperlink" Target="https://scholar.google.com/scholar?q=%22Differentially%20Private%20Obfuscation%20of%20Facial%20Images%22" TargetMode="External"/><Relationship Id="rId18" Type="http://schemas.openxmlformats.org/officeDocument/2006/relationships/hyperlink" Target="https://openreview.net/forum?id=S1zk9iRqF7" TargetMode="External"/><Relationship Id="rId19" Type="http://schemas.openxmlformats.org/officeDocument/2006/relationships/hyperlink" Target="https://scholar.google.com/scholar?q=%22PATE-GAN%3A%20Generating%20Synthetic%20Data%20with%20Differential%20Privacy%20Guarantees%22" TargetMode="External"/><Relationship Id="rId20" Type="http://schemas.openxmlformats.org/officeDocument/2006/relationships/hyperlink" Target="https://doi.org/10.1109/ICME.2019.00140" TargetMode="External"/><Relationship Id="rId21" Type="http://schemas.openxmlformats.org/officeDocument/2006/relationships/hyperlink" Target="https://scholar.google.com/scholar?q=%22Practical%20Image%20Obfuscation%20with%20Provable%20Privacy%22" TargetMode="External"/><Relationship Id="rId22" Type="http://schemas.openxmlformats.org/officeDocument/2006/relationships/hyperlink" Target="https://arxiv.org/abs/1802.06739" TargetMode="External"/><Relationship Id="rId23" Type="http://schemas.openxmlformats.org/officeDocument/2006/relationships/hyperlink" Target="https://scholar.google.com/scholar?q=%22Differentially%20Private%20Generative%20Adversarial%20Network%22" TargetMode="External"/><Relationship Id="rId24" Type="http://schemas.openxmlformats.org/officeDocument/2006/relationships/hyperlink" Target="https://doi.org/10.1007/978-3-319-95729-6_10" TargetMode="External"/><Relationship Id="rId25" Type="http://schemas.openxmlformats.org/officeDocument/2006/relationships/hyperlink" Target="https://scholar.google.com/scholar?q=%22Image%20Pixelization%20with%20Differential%20Privacy%22" TargetMode="External"/><Relationship Id="rId26" Type="http://schemas.openxmlformats.org/officeDocument/2006/relationships/hyperlink" Target="https://github.com/tensorflow/privacy" TargetMode="External"/><Relationship Id="rId27" Type="http://schemas.openxmlformats.org/officeDocument/2006/relationships/hyperlink" Target="https://arxiv.org/abs/1607.00133" TargetMode="External"/><Relationship Id="rId28" Type="http://schemas.openxmlformats.org/officeDocument/2006/relationships/hyperlink" Target="https://scholar.google.com/scholar?q=%22Deep%20Learning%20with%20Differential%20Privacy%22" TargetMode="External"/><Relationship Id="rId29" Type="http://schemas.openxmlformats.org/officeDocument/2006/relationships/hyperlink" Target="https://doi.org/10.1007/11681878_14" TargetMode="External"/><Relationship Id="rId30" Type="http://schemas.openxmlformats.org/officeDocument/2006/relationships/hyperlink" Target="https://scholar.google.com/scholar?q=%22Calibrating%20Noise%20to%20Sensitivity%20in%20Private%20Data%20Analysis%22" TargetMode="External"/><Relationship Id="rId3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hyperlink" Target="https://github.com/carlosh93/privacy-optics-hpe" TargetMode="External"/><Relationship Id="rId2" Type="http://schemas.openxmlformats.org/officeDocument/2006/relationships/hyperlink" Target="https://openaccess.thecvf.com/content/ICCV2021/html/Hinojosa_Learning_Privacy-Preserving_Optics_for_Human_Pose_Estimation_ICCV_2021_paper.html" TargetMode="External"/><Relationship Id="rId3" Type="http://schemas.openxmlformats.org/officeDocument/2006/relationships/hyperlink" Target="https://scholar.google.com/scholar?q=%22Learning%20Privacy-Preserving%20Optics%20for%20Human%20Pose%20Estimation%22" TargetMode="External"/><Relationship Id="rId4" Type="http://schemas.openxmlformats.org/officeDocument/2006/relationships/hyperlink" Target="https://arxiv.org/abs/1807.08379" TargetMode="External"/><Relationship Id="rId5" Type="http://schemas.openxmlformats.org/officeDocument/2006/relationships/hyperlink" Target="https://scholar.google.com/scholar?q=%22Towards%20Privacy-Preserving%20Visual%20Recognition%20via%20Adversarial%20Training%3A%20A%20Pilot%20Study%22" TargetMode="External"/><Relationship Id="rId6" Type="http://schemas.openxmlformats.org/officeDocument/2006/relationships/hyperlink" Target="https://doi.org/10.3390/e20010060" TargetMode="External"/><Relationship Id="rId7" Type="http://schemas.openxmlformats.org/officeDocument/2006/relationships/hyperlink" Target="https://scholar.google.com/scholar?q=%22k-Same-Net%3A%20k-Anonymity%20with%20Generative%20Deep%20Neural%20Networks%20for%20Face%20Deidentification%22" TargetMode="External"/><Relationship Id="rId8" Type="http://schemas.openxmlformats.org/officeDocument/2006/relationships/hyperlink" Target="https://ojs.aaai.org/index.php/AAAI/article/view/11233" TargetMode="External"/><Relationship Id="rId9" Type="http://schemas.openxmlformats.org/officeDocument/2006/relationships/hyperlink" Target="https://scholar.google.com/scholar?q=%22Privacy-Preserving%20Human%20Activity%20Recognition%20from%20Extreme%20Low%20Resolution%22" TargetMode="External"/><Relationship Id="rId10" Type="http://schemas.openxmlformats.org/officeDocument/2006/relationships/hyperlink" Target="https://doi.org/10.1145/2810103.2813603" TargetMode="External"/><Relationship Id="rId11" Type="http://schemas.openxmlformats.org/officeDocument/2006/relationships/hyperlink" Target="https://scholar.google.com/scholar?q=%22Face/Off%3A%20Preventing%20Privacy%20Leakage%20From%20Photos%20in%20Social%20Networks%22" TargetMode="External"/><Relationship Id="rId12" Type="http://schemas.openxmlformats.org/officeDocument/2006/relationships/hyperlink" Target="https://doi.org/10.1109/CVPR.2015.7298658" TargetMode="External"/><Relationship Id="rId13" Type="http://schemas.openxmlformats.org/officeDocument/2006/relationships/hyperlink" Target="https://scholar.google.com/scholar?q=%22Privacy%20Preserving%20Optics%20for%20Miniature%20Vision%20Sensors%22" TargetMode="External"/><Relationship Id="rId14" Type="http://schemas.openxmlformats.org/officeDocument/2006/relationships/hyperlink" Target="https://doi.org/10.1109/ICDSP.2013.6622791" TargetMode="External"/><Relationship Id="rId15" Type="http://schemas.openxmlformats.org/officeDocument/2006/relationships/hyperlink" Target="https://scholar.google.com/scholar?q=%22Using%20Warping%20for%20Privacy%20Protection%20in%20Video%20Surveillance%22" TargetMode="External"/><Relationship Id="rId16" Type="http://schemas.openxmlformats.org/officeDocument/2006/relationships/hyperlink" Target="https://doi.org/10.1007/978-1-84882-301-3_8" TargetMode="External"/><Relationship Id="rId17" Type="http://schemas.openxmlformats.org/officeDocument/2006/relationships/hyperlink" Target="https://scholar.google.com/scholar?q=%22Face%20De-Identification%22" TargetMode="External"/><Relationship Id="rId18" Type="http://schemas.openxmlformats.org/officeDocument/2006/relationships/hyperlink" Target="https://doi.org/10.1109/ICCV.2009.5459413" TargetMode="External"/><Relationship Id="rId19" Type="http://schemas.openxmlformats.org/officeDocument/2006/relationships/hyperlink" Target="https://scholar.google.com/scholar?q=%22Large-Scale%20Privacy%20Protection%20in%20Google%20Street%20View%22" TargetMode="External"/><Relationship Id="rId20" Type="http://schemas.openxmlformats.org/officeDocument/2006/relationships/hyperlink" Target="https://doi.org/10.1145/1360612.1360638" TargetMode="External"/><Relationship Id="rId21" Type="http://schemas.openxmlformats.org/officeDocument/2006/relationships/hyperlink" Target="https://scholar.google.com/scholar?q=%22Face%20Swapping%3A%20Automatically%20Replacing%20Faces%20in%20Photographs%22" TargetMode="External"/><Relationship Id="rId22" Type="http://schemas.openxmlformats.org/officeDocument/2006/relationships/hyperlink" Target="https://doi.org/10.1109/TCSVT.2008.928225" TargetMode="External"/><Relationship Id="rId23" Type="http://schemas.openxmlformats.org/officeDocument/2006/relationships/hyperlink" Target="https://scholar.google.com/scholar?q=%22Scrambling%20for%20Privacy%20Protection%20in%20Video%20Surveillance%20Systems%22" TargetMode="External"/><Relationship Id="rId24" Type="http://schemas.openxmlformats.org/officeDocument/2006/relationships/hyperlink" Target="https://doi.org/10.1145/1143518.1143519" TargetMode="External"/><Relationship Id="rId25" Type="http://schemas.openxmlformats.org/officeDocument/2006/relationships/hyperlink" Target="https://scholar.google.com/scholar?q=%22Blur%20Filtration%20Fails%20to%20Preserve%20Privacy%20for%20Home-Based%20Video%20Conferencing%22" TargetMode="External"/><Relationship Id="rId26" Type="http://schemas.openxmlformats.org/officeDocument/2006/relationships/hyperlink" Target="https://doi.org/10.1109/CVPRW.2006.125" TargetMode="External"/><Relationship Id="rId27" Type="http://schemas.openxmlformats.org/officeDocument/2006/relationships/hyperlink" Target="https://scholar.google.com/scholar?q=%22Model-Based%20Face%20De-Identification%22" TargetMode="External"/><Relationship Id="rId28" Type="http://schemas.openxmlformats.org/officeDocument/2006/relationships/hyperlink" Target="https://doi.org/10.1007/11767831_15" TargetMode="External"/><Relationship Id="rId29" Type="http://schemas.openxmlformats.org/officeDocument/2006/relationships/hyperlink" Target="https://scholar.google.com/scholar?q=%22Integrating%20Utility%20into%20Face%20De-identification%22" TargetMode="External"/><Relationship Id="rId30" Type="http://schemas.openxmlformats.org/officeDocument/2006/relationships/hyperlink" Target="https://doi.org/10.1109/TKDE.2005.32" TargetMode="External"/><Relationship Id="rId31" Type="http://schemas.openxmlformats.org/officeDocument/2006/relationships/hyperlink" Target="https://scholar.google.com/scholar?q=%22Preserving%20Privacy%20by%20De-identifying%20Face%20Images%22" TargetMode="External"/><Relationship Id="rId32" Type="http://schemas.openxmlformats.org/officeDocument/2006/relationships/hyperlink" Target="https://doi.org/10.1145/358916.358935" TargetMode="External"/><Relationship Id="rId33" Type="http://schemas.openxmlformats.org/officeDocument/2006/relationships/hyperlink" Target="https://scholar.google.com/scholar?q=%22The%20Effects%20of%20Filtered%20Video%20on%20Awareness%20and%20Privacy%22" TargetMode="External"/><Relationship Id="rId34"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hyperlink" Target="https://arxiv.org/abs/2605.03857" TargetMode="External"/><Relationship Id="rId2" Type="http://schemas.openxmlformats.org/officeDocument/2006/relationships/hyperlink" Target="https://scholar.google.com/scholar?q=%22A%20Deeper%20Dive%20into%20the%20Irreversibility%20of%20PolyProtect%3A%20Making%20Protected%20Face%20Templates%20Harder%20to%20Invert%22" TargetMode="External"/><Relationship Id="rId3" Type="http://schemas.openxmlformats.org/officeDocument/2006/relationships/hyperlink" Target="https://arxiv.org/abs/2504.18015" TargetMode="External"/><Relationship Id="rId4" Type="http://schemas.openxmlformats.org/officeDocument/2006/relationships/hyperlink" Target="https://scholar.google.com/scholar?q=%22DiffMI%3A%20Breaking%20Face%20Recognition%20Privacy%20via%20Diffusion-Driven%20Training-Free%20Model%20Inversion%22" TargetMode="External"/><Relationship Id="rId5" Type="http://schemas.openxmlformats.org/officeDocument/2006/relationships/hyperlink" Target="https://arxiv.org/abs/2602.02914" TargetMode="External"/><Relationship Id="rId6" Type="http://schemas.openxmlformats.org/officeDocument/2006/relationships/hyperlink" Target="https://scholar.google.com/scholar?q=%22FaceLinkGen%3A%20A%20Re-evaluation%20of%20Identity%20Leakage%20in%20Privacy-Preserving%20Face%20Recognition%20and%20Face%20Anonymization%20Systems%20Using%20Simple%20Distillation%22" TargetMode="External"/><Relationship Id="rId7" Type="http://schemas.openxmlformats.org/officeDocument/2006/relationships/hyperlink" Target="https://github.com/ethz-spylab/robust-style-mimicry" TargetMode="External"/><Relationship Id="rId8" Type="http://schemas.openxmlformats.org/officeDocument/2006/relationships/hyperlink" Target="https://arxiv.org/abs/2406.12027" TargetMode="External"/><Relationship Id="rId9" Type="http://schemas.openxmlformats.org/officeDocument/2006/relationships/hyperlink" Target="https://scholar.google.com/scholar?q=%22Adversarial%20Perturbations%20Cannot%20Reliably%20Protect%20Artists%20From%20Generative%20AI%22" TargetMode="External"/><Relationship Id="rId10" Type="http://schemas.openxmlformats.org/officeDocument/2006/relationships/hyperlink" Target="https://arxiv.org/abs/2505.20985" TargetMode="External"/><Relationship Id="rId11" Type="http://schemas.openxmlformats.org/officeDocument/2006/relationships/hyperlink" Target="https://scholar.google.com/scholar?q=%22Assessing%20the%20Use%20of%20Face%20Swapping%20Methods%20as%20Face%20Anonymizers%20in%20Videos%22" TargetMode="External"/><Relationship Id="rId12" Type="http://schemas.openxmlformats.org/officeDocument/2006/relationships/hyperlink" Target="https://arxiv.org/abs/2411.03960" TargetMode="External"/><Relationship Id="rId13" Type="http://schemas.openxmlformats.org/officeDocument/2006/relationships/hyperlink" Target="https://scholar.google.com/scholar?q=%22Face%20Reconstruction%20from%20Face%20Embeddings%20using%20Adapter%20to%20a%20Face%20Foundation%20Model%22" TargetMode="External"/><Relationship Id="rId14" Type="http://schemas.openxmlformats.org/officeDocument/2006/relationships/hyperlink" Target="https://arxiv.org/abs/2506.09777" TargetMode="External"/><Relationship Id="rId15" Type="http://schemas.openxmlformats.org/officeDocument/2006/relationships/hyperlink" Target="https://scholar.google.com/scholar?q=%22Inverting%20Black-Box%20Face%20Recognition%20Systems%20via%20Zero-Order%20Optimization%20in%20Eigenface%20Space%22" TargetMode="External"/><Relationship Id="rId16" Type="http://schemas.openxmlformats.org/officeDocument/2006/relationships/hyperlink" Target="https://github.com/ZhengyueZhao/GrIDPure" TargetMode="External"/><Relationship Id="rId17" Type="http://schemas.openxmlformats.org/officeDocument/2006/relationships/hyperlink" Target="https://arxiv.org/abs/2312.00084" TargetMode="External"/><Relationship Id="rId18" Type="http://schemas.openxmlformats.org/officeDocument/2006/relationships/hyperlink" Target="https://scholar.google.com/scholar?q=%22Can%20Protective%20Perturbation%20Safeguard%20Personal%20Data%20from%20Being%20Exploited%20by%20Stable%20Diffusion%3F%22" TargetMode="External"/><Relationship Id="rId19" Type="http://schemas.openxmlformats.org/officeDocument/2006/relationships/hyperlink" Target="https://arxiv.org/abs/2210.10651" TargetMode="External"/><Relationship Id="rId20" Type="http://schemas.openxmlformats.org/officeDocument/2006/relationships/hyperlink" Target="https://scholar.google.com/scholar?q=%22Fant&#244;mas%3A%20Understanding%20Face%20Anonymization%20Reversibility%22" TargetMode="External"/><Relationship Id="rId21" Type="http://schemas.openxmlformats.org/officeDocument/2006/relationships/hyperlink" Target="https://arxiv.org/abs/2303.08500" TargetMode="External"/><Relationship Id="rId22" Type="http://schemas.openxmlformats.org/officeDocument/2006/relationships/hyperlink" Target="https://scholar.google.com/scholar?q=%22The%20Devil%27s%20Advocate%3A%20Shattering%20the%20Illusion%20of%20Unexploitable%20Data%20using%20Diffusion%20Models%22" TargetMode="External"/><Relationship Id="rId23" Type="http://schemas.openxmlformats.org/officeDocument/2006/relationships/hyperlink" Target="https://doi.org/10.1109/TIFS.2024.3381820" TargetMode="External"/><Relationship Id="rId24" Type="http://schemas.openxmlformats.org/officeDocument/2006/relationships/hyperlink" Target="https://scholar.google.com/scholar?q=%22Vulnerability%20of%20State-of-the-Art%20Face%20Recognition%20Models%20to%20Template%20Inversion%20Attack%22" TargetMode="External"/><Relationship Id="rId25" Type="http://schemas.openxmlformats.org/officeDocument/2006/relationships/hyperlink" Target="https://doi.org/10.1109/TPAMI.2023.3312123" TargetMode="External"/><Relationship Id="rId26" Type="http://schemas.openxmlformats.org/officeDocument/2006/relationships/hyperlink" Target="https://scholar.google.com/scholar?q=%22Comprehensive%20Vulnerability%20Evaluation%20of%20Face%20Recognition%20Systems%20to%20Template%20Inversion%20Attacks%20via%203D%20Face%20Reconstruction%22" TargetMode="External"/><Relationship Id="rId27" Type="http://schemas.openxmlformats.org/officeDocument/2006/relationships/hyperlink" Target="https://github.com/hukkelas/deep_privacy2" TargetMode="External"/><Relationship Id="rId28" Type="http://schemas.openxmlformats.org/officeDocument/2006/relationships/hyperlink" Target="https://arxiv.org/abs/2306.05135" TargetMode="External"/><Relationship Id="rId29" Type="http://schemas.openxmlformats.org/officeDocument/2006/relationships/hyperlink" Target="https://scholar.google.com/scholar?q=%22Does%20Image%20Anonymization%20Impact%20Computer%20Vision%20Training%3F%22" TargetMode="External"/><Relationship Id="rId30" Type="http://schemas.openxmlformats.org/officeDocument/2006/relationships/hyperlink" Target="https://proceedings.neurips.cc/paper_files/paper/2023/hash/29e4b51d45dc8f534260adc45b587363-Abstract-Conference.html" TargetMode="External"/><Relationship Id="rId31" Type="http://schemas.openxmlformats.org/officeDocument/2006/relationships/hyperlink" Target="https://scholar.google.com/scholar?q=%22Face%20Reconstruction%20from%20Facial%20Templates%20by%20Learning%20Latent%20Space%20of%20a%20Generator%20Network%22" TargetMode="External"/><Relationship Id="rId32" Type="http://schemas.openxmlformats.org/officeDocument/2006/relationships/hyperlink" Target="https://arxiv.org/abs/2310.19248" TargetMode="External"/><Relationship Id="rId33" Type="http://schemas.openxmlformats.org/officeDocument/2006/relationships/hyperlink" Target="https://scholar.google.com/scholar?q=%22IMPRESS%3A%20Evaluating%20the%20Resilience%20of%20Imperceptible%20Perturbations%20Against%20Unauthorized%20Data%20Usage%20in%20Diffusion-Based%20Generative%20AI%22" TargetMode="External"/><Relationship Id="rId34" Type="http://schemas.openxmlformats.org/officeDocument/2006/relationships/hyperlink" Target="https://github.com/liuzrcc/ImageShortcutSqueezing" TargetMode="External"/><Relationship Id="rId35" Type="http://schemas.openxmlformats.org/officeDocument/2006/relationships/hyperlink" Target="https://arxiv.org/abs/2301.13838" TargetMode="External"/><Relationship Id="rId36" Type="http://schemas.openxmlformats.org/officeDocument/2006/relationships/hyperlink" Target="https://scholar.google.com/scholar?q=%22Image%20Shortcut%20Squeezing%3A%20Countering%20Perturbative%20Availability%20Poisons%20with%20Compression%22" TargetMode="External"/><Relationship Id="rId37" Type="http://schemas.openxmlformats.org/officeDocument/2006/relationships/hyperlink" Target="https://arxiv.org/abs/2111.12405" TargetMode="External"/><Relationship Id="rId38" Type="http://schemas.openxmlformats.org/officeDocument/2006/relationships/hyperlink" Target="https://scholar.google.com/scholar?q=%22An%20Attack%20on%20Facial%20Soft-Biometric%20Privacy%20Enhancement%22" TargetMode="External"/><Relationship Id="rId39" Type="http://schemas.openxmlformats.org/officeDocument/2006/relationships/hyperlink" Target="https://github.com/ftramer/FaceCure" TargetMode="External"/><Relationship Id="rId40" Type="http://schemas.openxmlformats.org/officeDocument/2006/relationships/hyperlink" Target="https://arxiv.org/abs/2106.14851" TargetMode="External"/><Relationship Id="rId41" Type="http://schemas.openxmlformats.org/officeDocument/2006/relationships/hyperlink" Target="https://scholar.google.com/scholar?q=%22Data%20Poisoning%20Won%27t%20Save%20You%20From%20Facial%20Recognition%22" TargetMode="External"/><Relationship Id="rId42" Type="http://schemas.openxmlformats.org/officeDocument/2006/relationships/hyperlink" Target="https://arxiv.org/abs/2011.05315" TargetMode="External"/><Relationship Id="rId43" Type="http://schemas.openxmlformats.org/officeDocument/2006/relationships/hyperlink" Target="https://scholar.google.com/scholar?q=%22Is%20Private%20Learning%20Possible%20with%20Instance%20Encoding%3F%22" TargetMode="External"/><Relationship Id="rId44" Type="http://schemas.openxmlformats.org/officeDocument/2006/relationships/hyperlink" Target="https://arxiv.org/abs/2102.11502" TargetMode="External"/><Relationship Id="rId45" Type="http://schemas.openxmlformats.org/officeDocument/2006/relationships/hyperlink" Target="https://scholar.google.com/scholar?q=%22Oriole%3A%20Thwarting%20Privacy%20Against%20Trustworthy%20Deep%20Learning%20Models%22" TargetMode="External"/><Relationship Id="rId46" Type="http://schemas.openxmlformats.org/officeDocument/2006/relationships/hyperlink" Target="https://arxiv.org/abs/2003.06958" TargetMode="External"/><Relationship Id="rId47" Type="http://schemas.openxmlformats.org/officeDocument/2006/relationships/hyperlink" Target="https://scholar.google.com/scholar?q=%22Vec2Face%3A%20Unveil%20Human%20Faces%20from%20their%20Blackbox%20Features%20in%20Face%20Recognition%22" TargetMode="External"/><Relationship Id="rId48" Type="http://schemas.openxmlformats.org/officeDocument/2006/relationships/hyperlink" Target="https://arxiv.org/abs/1703.00832" TargetMode="External"/><Relationship Id="rId49" Type="http://schemas.openxmlformats.org/officeDocument/2006/relationships/hyperlink" Target="https://scholar.google.com/scholar?q=%22On%20the%20Reconstruction%20of%20Face%20Images%20from%20Deep%20Face%20Templates%22" TargetMode="External"/><Relationship Id="rId50" Type="http://schemas.openxmlformats.org/officeDocument/2006/relationships/hyperlink" Target="https://arxiv.org/abs/1609.00408" TargetMode="External"/><Relationship Id="rId51" Type="http://schemas.openxmlformats.org/officeDocument/2006/relationships/hyperlink" Target="https://scholar.google.com/scholar?q=%22Defeating%20Image%20Obfuscation%20with%20Deep%20Learning%22" TargetMode="External"/><Relationship Id="rId52" Type="http://schemas.openxmlformats.org/officeDocument/2006/relationships/hyperlink" Target="https://arxiv.org/abs/1607.08438" TargetMode="External"/><Relationship Id="rId53" Type="http://schemas.openxmlformats.org/officeDocument/2006/relationships/hyperlink" Target="https://scholar.google.com/scholar?q=%22Faceless%20Person%20Recognition%3A%20Privacy%20Implications%20in%20Social%20Media%22" TargetMode="External"/><Relationship Id="rId54" Type="http://schemas.openxmlformats.org/officeDocument/2006/relationships/hyperlink" Target="https://arxiv.org/abs/1606.04189" TargetMode="External"/><Relationship Id="rId55" Type="http://schemas.openxmlformats.org/officeDocument/2006/relationships/hyperlink" Target="https://scholar.google.com/scholar?q=%22Inverting%20Face%20Embeddings%20with%20Convolutional%20Neural%20Networks%22" TargetMode="External"/><Relationship Id="rId56"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hyperlink" Target="https://github.com/HaiyuWu/vec2face" TargetMode="External"/><Relationship Id="rId2" Type="http://schemas.openxmlformats.org/officeDocument/2006/relationships/hyperlink" Target="https://arxiv.org/abs/2409.02979" TargetMode="External"/><Relationship Id="rId3" Type="http://schemas.openxmlformats.org/officeDocument/2006/relationships/hyperlink" Target="https://scholar.google.com/scholar?q=%22Vec2Face%3A%20Scaling%20Face%20Dataset%20Generation%20with%20Loosely%20Constrained%20Vectors%22" TargetMode="External"/><Relationship Id="rId4" Type="http://schemas.openxmlformats.org/officeDocument/2006/relationships/hyperlink" Target="https://github.com/foivospar/Arc2Face" TargetMode="External"/><Relationship Id="rId5" Type="http://schemas.openxmlformats.org/officeDocument/2006/relationships/hyperlink" Target="https://arxiv.org/abs/2403.11641" TargetMode="External"/><Relationship Id="rId6" Type="http://schemas.openxmlformats.org/officeDocument/2006/relationships/hyperlink" Target="https://scholar.google.com/scholar?q=%22Arc2Face%3A%20A%20Foundation%20Model%20for%20ID-Consistent%20Human%20Faces%22" TargetMode="External"/><Relationship Id="rId7" Type="http://schemas.openxmlformats.org/officeDocument/2006/relationships/hyperlink" Target="https://arxiv.org/abs/2311.10476" TargetMode="External"/><Relationship Id="rId8" Type="http://schemas.openxmlformats.org/officeDocument/2006/relationships/hyperlink" Target="https://scholar.google.com/scholar?q=%22FRCSyn%20Challenge%20at%20WACV%202024%3A%20Face%20Recognition%20Challenge%20in%20the%20Era%20of%20Synthetic%20Data%22" TargetMode="External"/><Relationship Id="rId9" Type="http://schemas.openxmlformats.org/officeDocument/2006/relationships/hyperlink" Target="https://github.com/mk-minchul/dcface" TargetMode="External"/><Relationship Id="rId10" Type="http://schemas.openxmlformats.org/officeDocument/2006/relationships/hyperlink" Target="https://arxiv.org/abs/2304.07060" TargetMode="External"/><Relationship Id="rId11" Type="http://schemas.openxmlformats.org/officeDocument/2006/relationships/hyperlink" Target="https://scholar.google.com/scholar?q=%22DCFace%3A%20Synthetic%20Face%20Generation%20with%20Dual%20Condition%20Diffusion%20Model%22" TargetMode="External"/><Relationship Id="rId12" Type="http://schemas.openxmlformats.org/officeDocument/2006/relationships/hyperlink" Target="https://github.com/microsoft/DigiFace1M" TargetMode="External"/><Relationship Id="rId13" Type="http://schemas.openxmlformats.org/officeDocument/2006/relationships/hyperlink" Target="https://arxiv.org/abs/2210.02579" TargetMode="External"/><Relationship Id="rId14" Type="http://schemas.openxmlformats.org/officeDocument/2006/relationships/hyperlink" Target="https://scholar.google.com/scholar?q=%22DigiFace-1M%3A%201%20Million%20Digital%20Face%20Images%20for%20Face%20Recognition%22" TargetMode="External"/><Relationship Id="rId15" Type="http://schemas.openxmlformats.org/officeDocument/2006/relationships/hyperlink" Target="https://github.com/fdbtrs/IDiff-Face" TargetMode="External"/><Relationship Id="rId16" Type="http://schemas.openxmlformats.org/officeDocument/2006/relationships/hyperlink" Target="https://arxiv.org/abs/2308.04995" TargetMode="External"/><Relationship Id="rId17" Type="http://schemas.openxmlformats.org/officeDocument/2006/relationships/hyperlink" Target="https://scholar.google.com/scholar?q=%22IDiff-Face%3A%20Synthetic-based%20Face%20Recognition%20through%20Fuzzy%20Identity-Conditioned%20Diffusion%20Models%22" TargetMode="External"/><Relationship Id="rId18" Type="http://schemas.openxmlformats.org/officeDocument/2006/relationships/hyperlink" Target="https://arxiv.org/abs/2305.01021" TargetMode="External"/><Relationship Id="rId19" Type="http://schemas.openxmlformats.org/officeDocument/2006/relationships/hyperlink" Target="https://scholar.google.com/scholar?q=%22Synthetic%20Data%20for%20Face%20Recognition%3A%20Current%20State%20and%20Future%20Prospects%22" TargetMode="External"/><Relationship Id="rId20" Type="http://schemas.openxmlformats.org/officeDocument/2006/relationships/hyperlink" Target="https://github.com/jackie840129/FedFR" TargetMode="External"/><Relationship Id="rId21" Type="http://schemas.openxmlformats.org/officeDocument/2006/relationships/hyperlink" Target="https://arxiv.org/abs/2112.12496" TargetMode="External"/><Relationship Id="rId22" Type="http://schemas.openxmlformats.org/officeDocument/2006/relationships/hyperlink" Target="https://scholar.google.com/scholar?q=%22FedFR%3A%20Joint%20Optimization%20Federated%20Framework%20for%20Generic%20and%20Personalized%20Face%20Recognition%22" TargetMode="External"/><Relationship Id="rId23" Type="http://schemas.openxmlformats.org/officeDocument/2006/relationships/hyperlink" Target="https://arxiv.org/abs/2112.07246" TargetMode="External"/><Relationship Id="rId24" Type="http://schemas.openxmlformats.org/officeDocument/2006/relationships/hyperlink" Target="https://scholar.google.com/scholar?q=%22Federated%20Learning%20for%20Face%20Recognition%20with%20Gradient%20Correction%22" TargetMode="External"/><Relationship Id="rId25" Type="http://schemas.openxmlformats.org/officeDocument/2006/relationships/hyperlink" Target="https://github.com/fdbtrs/SFace-Privacy-friendly-and-Accurate-Face-Recognition-using-Synthetic-Data" TargetMode="External"/><Relationship Id="rId26" Type="http://schemas.openxmlformats.org/officeDocument/2006/relationships/hyperlink" Target="https://arxiv.org/abs/2206.10520" TargetMode="External"/><Relationship Id="rId27" Type="http://schemas.openxmlformats.org/officeDocument/2006/relationships/hyperlink" Target="https://scholar.google.com/scholar?q=%22SFace%3A%20Privacy-friendly%20and%20Accurate%20Face%20Recognition%20using%20Synthetic%20Data%22" TargetMode="External"/><Relationship Id="rId28" Type="http://schemas.openxmlformats.org/officeDocument/2006/relationships/hyperlink" Target="https://arxiv.org/abs/2104.03008" TargetMode="External"/><Relationship Id="rId29" Type="http://schemas.openxmlformats.org/officeDocument/2006/relationships/hyperlink" Target="https://scholar.google.com/scholar?q=%22FedFace%3A%20Collaborative%20Learning%20of%20Face%20Recognition%20Model%22" TargetMode="External"/><Relationship Id="rId30" Type="http://schemas.openxmlformats.org/officeDocument/2006/relationships/hyperlink" Target="https://github.com/haibo-qiu/SynFace" TargetMode="External"/><Relationship Id="rId31" Type="http://schemas.openxmlformats.org/officeDocument/2006/relationships/hyperlink" Target="https://arxiv.org/abs/2108.07960" TargetMode="External"/><Relationship Id="rId32" Type="http://schemas.openxmlformats.org/officeDocument/2006/relationships/hyperlink" Target="https://scholar.google.com/scholar?q=%22SynFace%3A%20Face%20Recognition%20with%20Synthetic%20Data%22" TargetMode="External"/><Relationship Id="rId33" Type="http://schemas.openxmlformats.org/officeDocument/2006/relationships/hyperlink" Target="https://arxiv.org/abs/2104.02821" TargetMode="External"/><Relationship Id="rId34" Type="http://schemas.openxmlformats.org/officeDocument/2006/relationships/hyperlink" Target="https://scholar.google.com/scholar?q=%22Towards%20Measuring%20Fairness%20in%20AI%3A%20The%20Casual%20Conversations%20Dataset%22" TargetMode="External"/><Relationship Id="rId35" Type="http://schemas.openxmlformats.org/officeDocument/2006/relationships/hyperlink" Target="https://github.com/Hazelsuko07/InstaHide" TargetMode="External"/><Relationship Id="rId36" Type="http://schemas.openxmlformats.org/officeDocument/2006/relationships/hyperlink" Target="https://arxiv.org/abs/2010.02772" TargetMode="External"/><Relationship Id="rId37" Type="http://schemas.openxmlformats.org/officeDocument/2006/relationships/hyperlink" Target="https://scholar.google.com/scholar?q=%22InstaHide%3A%20Instance-hiding%20Schemes%20for%20Private%20Distributed%20Learning%22" TargetMode="External"/><Relationship Id="rId38" Type="http://schemas.openxmlformats.org/officeDocument/2006/relationships/hyperlink" Target="https://arxiv.org/abs/1607.08221" TargetMode="External"/><Relationship Id="rId39" Type="http://schemas.openxmlformats.org/officeDocument/2006/relationships/hyperlink" Target="https://scholar.google.com/scholar?q=%22MS-Celeb-1M%3A%20A%20Dataset%20and%20Benchmark%20for%20Large-Scale%20Face%20Recognition%22" TargetMode="External"/><Relationship Id="rId40"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hyperlink" Target="https://arxiv.org/abs/2608.04314" TargetMode="External"/><Relationship Id="rId2" Type="http://schemas.openxmlformats.org/officeDocument/2006/relationships/hyperlink" Target="https://scholar.google.com/scholar?q=%22Adversarial%20Attacks%20for%20Good%3A%20A%20Survey%20of%20Proactive%20Protection%20across%20the%20Visual%20Content%20Lifecycle%22" TargetMode="External"/><Relationship Id="rId3" Type="http://schemas.openxmlformats.org/officeDocument/2006/relationships/hyperlink" Target="https://arxiv.org/abs/2603.13121" TargetMode="External"/><Relationship Id="rId4" Type="http://schemas.openxmlformats.org/officeDocument/2006/relationships/hyperlink" Target="https://arxiv.org/abs/2603.13121" TargetMode="External"/><Relationship Id="rId5" Type="http://schemas.openxmlformats.org/officeDocument/2006/relationships/hyperlink" Target="https://scholar.google.com/scholar?q=%22FDeID-Toolbox%3A%20Face%20De-Identification%20Toolbox%22" TargetMode="External"/><Relationship Id="rId6" Type="http://schemas.openxmlformats.org/officeDocument/2006/relationships/hyperlink" Target="https://arxiv.org/abs/2607.25926" TargetMode="External"/><Relationship Id="rId7" Type="http://schemas.openxmlformats.org/officeDocument/2006/relationships/hyperlink" Target="https://scholar.google.com/scholar?q=%22Face%20De-Identification%3A%20A%20Domain-Centric%20Survey%20from%20Capture%20to%20Processing%22" TargetMode="External"/><Relationship Id="rId8" Type="http://schemas.openxmlformats.org/officeDocument/2006/relationships/hyperlink" Target="https://arxiv.org/abs/2412.15228" TargetMode="External"/><Relationship Id="rId9" Type="http://schemas.openxmlformats.org/officeDocument/2006/relationships/hyperlink" Target="https://scholar.google.com/scholar?q=%22Image%20Privacy%20Protection%3A%20A%20Survey%22" TargetMode="External"/><Relationship Id="rId10" Type="http://schemas.openxmlformats.org/officeDocument/2006/relationships/hyperlink" Target="https://doi.org/10.1016/j.cosrev.2025.100785" TargetMode="External"/><Relationship Id="rId11" Type="http://schemas.openxmlformats.org/officeDocument/2006/relationships/hyperlink" Target="https://scholar.google.com/scholar?q=%22Facial%20Privacy%20in%20the%20Digital%20Era%3A%20A%20Comprehensive%20Survey%20on%20Methods%2C%20Evaluation%2C%20and%20Future%20Directions%22" TargetMode="External"/><Relationship Id="rId12" Type="http://schemas.openxmlformats.org/officeDocument/2006/relationships/hyperlink" Target="https://arxiv.org/abs/2303.16552" TargetMode="External"/><Relationship Id="rId13" Type="http://schemas.openxmlformats.org/officeDocument/2006/relationships/hyperlink" Target="https://scholar.google.com/scholar?q=%22Visual%20Content%20Privacy%20Protection%3A%20A%20Survey%22" TargetMode="External"/><Relationship Id="rId14" Type="http://schemas.openxmlformats.org/officeDocument/2006/relationships/hyperlink" Target="https://arxiv.org/abs/2411.09863" TargetMode="External"/><Relationship Id="rId15" Type="http://schemas.openxmlformats.org/officeDocument/2006/relationships/hyperlink" Target="https://scholar.google.com/scholar?q=%22Face%20De-identification%3A%20State-of-the-art%20Methods%20and%20Comparative%20Studies%22" TargetMode="External"/><Relationship Id="rId16" Type="http://schemas.openxmlformats.org/officeDocument/2006/relationships/hyperlink" Target="https://arxiv.org/abs/2007.07646" TargetMode="External"/><Relationship Id="rId17" Type="http://schemas.openxmlformats.org/officeDocument/2006/relationships/hyperlink" Target="https://scholar.google.com/scholar?q=%22A%20Survey%20of%20Privacy%20Attacks%20in%20Machine%20Learning%22" TargetMode="External"/><Relationship Id="rId18" Type="http://schemas.openxmlformats.org/officeDocument/2006/relationships/hyperlink" Target="https://arxiv.org/abs/2112.04558" TargetMode="External"/><Relationship Id="rId19" Type="http://schemas.openxmlformats.org/officeDocument/2006/relationships/hyperlink" Target="https://scholar.google.com/scholar?q=%22SoK%3A%20Anti-Facial%20Recognition%20Technology%22" TargetMode="External"/><Relationship Id="rId20" Type="http://schemas.openxmlformats.org/officeDocument/2006/relationships/hyperlink" Target="https://www.penguinrandomhouse.com/books/705578/your-face-belongs-to-us-by-kashmir-hill/" TargetMode="External"/><Relationship Id="rId21" Type="http://schemas.openxmlformats.org/officeDocument/2006/relationships/hyperlink" Target="https://scholar.google.com/scholar?q=%22Your%20Face%20Belongs%20to%20Us%3A%20A%20Secretive%20Startup%27s%20Quest%20to%20End%20Privacy%20as%20We%20Know%20It%22" TargetMode="External"/><Relationship Id="rId22" Type="http://schemas.openxmlformats.org/officeDocument/2006/relationships/hyperlink" Target="https://arxiv.org/abs/2102.00813" TargetMode="External"/><Relationship Id="rId23" Type="http://schemas.openxmlformats.org/officeDocument/2006/relationships/hyperlink" Target="https://scholar.google.com/scholar?q=%22About%20Face%3A%20A%20Survey%20of%20Facial%20Recognition%20Evaluation%22" TargetMode="External"/><Relationship Id="rId24" Type="http://schemas.openxmlformats.org/officeDocument/2006/relationships/hyperlink" Target="https://exposing.ai/" TargetMode="External"/><Relationship Id="rId25" Type="http://schemas.openxmlformats.org/officeDocument/2006/relationships/hyperlink" Target="https://scholar.google.com/scholar?q=%22Exposing.ai%20%28MegaPixels%29%3A%20Face%20Datasets%20and%20Their%20Provenance%22" TargetMode="External"/><Relationship Id="rId26" Type="http://schemas.openxmlformats.org/officeDocument/2006/relationships/hyperlink" Target="https://arxiv.org/abs/2006.16923" TargetMode="External"/><Relationship Id="rId27" Type="http://schemas.openxmlformats.org/officeDocument/2006/relationships/hyperlink" Target="https://scholar.google.com/scholar?q=%22Large%20Image%20Datasets%3A%20A%20Pyrrhic%20Win%20for%20Computer%20Vision%3F%22" TargetMode="External"/><Relationship Id="rId28" Type="http://schemas.openxmlformats.org/officeDocument/2006/relationships/hyperlink" Target="https://doi.org/10.1109/TIFS.2021.3096024" TargetMode="External"/><Relationship Id="rId29" Type="http://schemas.openxmlformats.org/officeDocument/2006/relationships/hyperlink" Target="https://scholar.google.com/scholar?q=%22Privacy-Enhancing%20Face%20Biometrics%3A%20A%20Comprehensive%20Survey%22" TargetMode="External"/><Relationship Id="rId30" Type="http://schemas.openxmlformats.org/officeDocument/2006/relationships/hyperlink" Target="https://www.ajl.org/federal-office-call" TargetMode="External"/><Relationship Id="rId31" Type="http://schemas.openxmlformats.org/officeDocument/2006/relationships/hyperlink" Target="https://scholar.google.com/scholar?q=%22Facial%20Recognition%20Technologies%20in%20the%20Wild%3A%20A%20Call%20for%20a%20Federal%20Office%22" TargetMode="External"/><Relationship Id="rId32" Type="http://schemas.openxmlformats.org/officeDocument/2006/relationships/hyperlink" Target="https://doi.org/10.6028/NIST.IR.8331" TargetMode="External"/><Relationship Id="rId33" Type="http://schemas.openxmlformats.org/officeDocument/2006/relationships/hyperlink" Target="https://scholar.google.com/scholar?q=%22Ongoing%20Face%20Recognition%20Vendor%20Test%20Part%206B%3A%20Face%20Recognition%20Accuracy%20with%20Face%20Masks%20Using%20Post-COVID-19%20Algorithms%22" TargetMode="External"/><Relationship Id="rId34" Type="http://schemas.openxmlformats.org/officeDocument/2006/relationships/hyperlink" Target="https://www.nytimes.com/2020/01/18/technology/clearview-privacy-facial-recognition.html" TargetMode="External"/><Relationship Id="rId35" Type="http://schemas.openxmlformats.org/officeDocument/2006/relationships/hyperlink" Target="https://scholar.google.com/scholar?q=%22The%20Secretive%20Company%20That%20Might%20End%20Privacy%20as%20We%20Know%20It%22" TargetMode="External"/><Relationship Id="rId36" Type="http://schemas.openxmlformats.org/officeDocument/2006/relationships/hyperlink" Target="https://doi.org/10.1145/3306618.3314244" TargetMode="External"/><Relationship Id="rId37" Type="http://schemas.openxmlformats.org/officeDocument/2006/relationships/hyperlink" Target="https://scholar.google.com/scholar?q=%22Actionable%20Auditing%3A%20Investigating%20the%20Impact%20of%20Publicly%20Naming%20Biased%20Performance%20Results%20of%20Commercial%20AI%20Products%22" TargetMode="External"/><Relationship Id="rId38" Type="http://schemas.openxmlformats.org/officeDocument/2006/relationships/hyperlink" Target="https://doi.org/10.6028/NIST.IR.8280" TargetMode="External"/><Relationship Id="rId39" Type="http://schemas.openxmlformats.org/officeDocument/2006/relationships/hyperlink" Target="https://scholar.google.com/scholar?q=%22Face%20Recognition%20Vendor%20Test%20Part%203%3A%20Demographic%20Effects%22" TargetMode="External"/><Relationship Id="rId40" Type="http://schemas.openxmlformats.org/officeDocument/2006/relationships/hyperlink" Target="https://proceedings.mlr.press/v81/buolamwini18a.html" TargetMode="External"/><Relationship Id="rId41" Type="http://schemas.openxmlformats.org/officeDocument/2006/relationships/hyperlink" Target="https://scholar.google.com/scholar?q=%22Gender%20Shades%3A%20Intersectional%20Accuracy%20Disparities%20in%20Commercial%20Gender%20Classification%22" TargetMode="External"/><Relationship Id="rId42" Type="http://schemas.openxmlformats.org/officeDocument/2006/relationships/hyperlink" Target="https://doi.org/10.1016/j.image.2016.05.020" TargetMode="External"/><Relationship Id="rId43" Type="http://schemas.openxmlformats.org/officeDocument/2006/relationships/hyperlink" Target="https://scholar.google.com/scholar?q=%22De-identification%20for%20Privacy%20Protection%20in%20Multimedia%20Content%3A%20A%20Survey%22" TargetMode="External"/><Relationship Id="rId44" Type="http://schemas.openxmlformats.org/officeDocument/2006/relationships/hyperlink" Target="https://www.perpetuallineup.org/" TargetMode="External"/><Relationship Id="rId45" Type="http://schemas.openxmlformats.org/officeDocument/2006/relationships/hyperlink" Target="https://scholar.google.com/scholar?q=%22The%20Perpetual%20Line-Up%3A%20Unregulated%20Police%20Face%20Recognition%20in%20America%22" TargetMode="External"/><Relationship Id="rId46" Type="http://schemas.openxmlformats.org/officeDocument/2006/relationships/hyperlink" Target="https://doi.org/10.1016/j.eswa.2015.01.041" TargetMode="External"/><Relationship Id="rId47" Type="http://schemas.openxmlformats.org/officeDocument/2006/relationships/hyperlink" Target="https://scholar.google.com/scholar?q=%22Visual%20Privacy%20Protection%20Methods%3A%20A%20Survey%22" TargetMode="External"/><Relationship Id="rId48"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hyperlink" Target="https://arxiv.org/abs/1609.00408" TargetMode="External"/><Relationship Id="rId2" Type="http://schemas.openxmlformats.org/officeDocument/2006/relationships/hyperlink" Target="https://arxiv.org/abs/1607.08438" TargetMode="External"/><Relationship Id="rId3" Type="http://schemas.openxmlformats.org/officeDocument/2006/relationships/hyperlink" Target="https://arxiv.org/abs/2102.11502" TargetMode="External"/><Relationship Id="rId4" Type="http://schemas.openxmlformats.org/officeDocument/2006/relationships/hyperlink" Target="https://arxiv.org/abs/2106.14851" TargetMode="External"/><Relationship Id="rId5" Type="http://schemas.openxmlformats.org/officeDocument/2006/relationships/hyperlink" Target="https://arxiv.org/abs/2106.14851" TargetMode="External"/><Relationship Id="rId6" Type="http://schemas.openxmlformats.org/officeDocument/2006/relationships/hyperlink" Target="https://arxiv.org/abs/2301.13838" TargetMode="External"/><Relationship Id="rId7" Type="http://schemas.openxmlformats.org/officeDocument/2006/relationships/hyperlink" Target="https://arxiv.org/abs/2303.08500" TargetMode="External"/><Relationship Id="rId8" Type="http://schemas.openxmlformats.org/officeDocument/2006/relationships/hyperlink" Target="https://arxiv.org/abs/2312.00084" TargetMode="External"/><Relationship Id="rId9" Type="http://schemas.openxmlformats.org/officeDocument/2006/relationships/hyperlink" Target="https://arxiv.org/abs/2310.19248" TargetMode="External"/><Relationship Id="rId10" Type="http://schemas.openxmlformats.org/officeDocument/2006/relationships/hyperlink" Target="https://arxiv.org/abs/2406.12027" TargetMode="External"/><Relationship Id="rId11" Type="http://schemas.openxmlformats.org/officeDocument/2006/relationships/hyperlink" Target="https://arxiv.org/abs/2303.08500" TargetMode="External"/><Relationship Id="rId12" Type="http://schemas.openxmlformats.org/officeDocument/2006/relationships/hyperlink" Target="https://arxiv.org/abs/2011.05315" TargetMode="External"/><Relationship Id="rId13" Type="http://schemas.openxmlformats.org/officeDocument/2006/relationships/hyperlink" Target="https://arxiv.org/abs/1703.00832" TargetMode="External"/><Relationship Id="rId14" Type="http://schemas.openxmlformats.org/officeDocument/2006/relationships/hyperlink" Target="https://arxiv.org/abs/2605.03857" TargetMode="External"/><Relationship Id="rId15" Type="http://schemas.openxmlformats.org/officeDocument/2006/relationships/hyperlink" Target="https://arxiv.org/abs/2602.02914" TargetMode="External"/><Relationship Id="rId16" Type="http://schemas.openxmlformats.org/officeDocument/2006/relationships/hyperlink" Target="https://arxiv.org/abs/2111.12405" TargetMode="External"/><Relationship Id="rId17" Type="http://schemas.openxmlformats.org/officeDocument/2006/relationships/hyperlink" Target="https://arxiv.org/abs/2210.10651" TargetMode="External"/><Relationship Id="rId18" Type="http://schemas.openxmlformats.org/officeDocument/2006/relationships/hyperlink" Target="https://arxiv.org/abs/2206.10520" TargetMode="External"/><Relationship Id="rId19" Type="http://schemas.openxmlformats.org/officeDocument/2006/relationships/hyperlink" Target="https://arxiv.org/abs/2304.0278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2" min="2" style="0" width="120"/>
  </cols>
  <sheetData>
    <row r="1" customFormat="false" ht="15" hidden="false" customHeight="false" outlineLevel="0" collapsed="false">
      <c r="A1" s="1" t="s">
        <v>0</v>
      </c>
      <c r="B1" s="2"/>
    </row>
    <row r="2" customFormat="false" ht="15" hidden="false" customHeight="false" outlineLevel="0" collapsed="false">
      <c r="A2" s="2" t="s">
        <v>1</v>
      </c>
      <c r="B2" s="2"/>
    </row>
    <row r="3" customFormat="false" ht="15" hidden="false" customHeight="false" outlineLevel="0" collapsed="false">
      <c r="A3" s="2"/>
      <c r="B3" s="2"/>
    </row>
    <row r="4" customFormat="false" ht="15" hidden="false" customHeight="false" outlineLevel="0" collapsed="false">
      <c r="A4" s="3" t="s">
        <v>2</v>
      </c>
      <c r="B4" s="2"/>
    </row>
    <row r="5" customFormat="false" ht="15" hidden="false" customHeight="false" outlineLevel="0" collapsed="false">
      <c r="A5" s="2" t="s">
        <v>3</v>
      </c>
      <c r="B5" s="2"/>
    </row>
    <row r="6" customFormat="false" ht="15" hidden="false" customHeight="false" outlineLevel="0" collapsed="false">
      <c r="A6" s="2"/>
      <c r="B6" s="2"/>
    </row>
    <row r="7" customFormat="false" ht="15" hidden="false" customHeight="false" outlineLevel="0" collapsed="false">
      <c r="A7" s="3" t="s">
        <v>4</v>
      </c>
      <c r="B7" s="2"/>
    </row>
    <row r="8" customFormat="false" ht="15" hidden="false" customHeight="false" outlineLevel="0" collapsed="false">
      <c r="A8" s="4" t="s">
        <v>5</v>
      </c>
      <c r="B8" s="5" t="s">
        <v>6</v>
      </c>
    </row>
    <row r="9" customFormat="false" ht="15" hidden="false" customHeight="false" outlineLevel="0" collapsed="false">
      <c r="A9" s="4" t="s">
        <v>7</v>
      </c>
      <c r="B9" s="5" t="s">
        <v>8</v>
      </c>
    </row>
    <row r="10" customFormat="false" ht="15" hidden="false" customHeight="false" outlineLevel="0" collapsed="false">
      <c r="A10" s="6" t="s">
        <v>9</v>
      </c>
      <c r="B10" s="5" t="s">
        <v>10</v>
      </c>
    </row>
    <row r="11" customFormat="false" ht="15" hidden="false" customHeight="false" outlineLevel="0" collapsed="false">
      <c r="A11" s="7" t="s">
        <v>11</v>
      </c>
      <c r="B11" s="5" t="s">
        <v>12</v>
      </c>
    </row>
    <row r="12" customFormat="false" ht="15" hidden="false" customHeight="false" outlineLevel="0" collapsed="false">
      <c r="A12" s="7" t="s">
        <v>13</v>
      </c>
      <c r="B12" s="5" t="s">
        <v>14</v>
      </c>
    </row>
    <row r="13" customFormat="false" ht="15" hidden="false" customHeight="false" outlineLevel="0" collapsed="false">
      <c r="A13" s="8" t="s">
        <v>15</v>
      </c>
      <c r="B13" s="5" t="s">
        <v>16</v>
      </c>
    </row>
    <row r="14" customFormat="false" ht="15" hidden="false" customHeight="false" outlineLevel="0" collapsed="false">
      <c r="A14" s="9" t="s">
        <v>17</v>
      </c>
      <c r="B14" s="5" t="s">
        <v>18</v>
      </c>
    </row>
    <row r="15" customFormat="false" ht="15" hidden="false" customHeight="false" outlineLevel="0" collapsed="false">
      <c r="A15" s="10" t="s">
        <v>19</v>
      </c>
      <c r="B15" s="5" t="s">
        <v>20</v>
      </c>
    </row>
    <row r="16" customFormat="false" ht="15" hidden="false" customHeight="false" outlineLevel="0" collapsed="false">
      <c r="A16" s="10" t="s">
        <v>21</v>
      </c>
      <c r="B16" s="5" t="s">
        <v>22</v>
      </c>
    </row>
    <row r="17" customFormat="false" ht="15" hidden="false" customHeight="false" outlineLevel="0" collapsed="false">
      <c r="A17" s="11" t="s">
        <v>23</v>
      </c>
      <c r="B17" s="5" t="s">
        <v>24</v>
      </c>
    </row>
    <row r="18" customFormat="false" ht="15" hidden="false" customHeight="false" outlineLevel="0" collapsed="false">
      <c r="A18" s="12" t="s">
        <v>25</v>
      </c>
      <c r="B18" s="5" t="s">
        <v>26</v>
      </c>
    </row>
    <row r="19" customFormat="false" ht="15" hidden="false" customHeight="false" outlineLevel="0" collapsed="false">
      <c r="A19" s="2"/>
      <c r="B19" s="2"/>
    </row>
    <row r="20" customFormat="false" ht="15" hidden="false" customHeight="false" outlineLevel="0" collapsed="false">
      <c r="A20" s="3" t="s">
        <v>27</v>
      </c>
      <c r="B20" s="2"/>
    </row>
    <row r="21" customFormat="false" ht="15" hidden="false" customHeight="false" outlineLevel="0" collapsed="false">
      <c r="A21" s="2"/>
      <c r="B21"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29</v>
      </c>
    </row>
    <row r="2" customFormat="false" ht="15" hidden="false" customHeight="false" outlineLevel="0" collapsed="false">
      <c r="A2" s="14" t="s">
        <v>30</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52</v>
      </c>
      <c r="C5" s="17" t="s">
        <v>53</v>
      </c>
      <c r="D5" s="17" t="s">
        <v>54</v>
      </c>
      <c r="E5" s="16" t="n">
        <v>2026</v>
      </c>
      <c r="F5" s="17" t="s">
        <v>55</v>
      </c>
      <c r="G5" s="16" t="s">
        <v>56</v>
      </c>
      <c r="H5" s="18" t="s">
        <v>23</v>
      </c>
      <c r="I5" s="17" t="s">
        <v>23</v>
      </c>
      <c r="J5" s="17" t="s">
        <v>57</v>
      </c>
      <c r="K5" s="17" t="s">
        <v>58</v>
      </c>
      <c r="L5" s="17" t="s">
        <v>59</v>
      </c>
      <c r="M5" s="17" t="s">
        <v>60</v>
      </c>
      <c r="N5" s="17" t="s">
        <v>61</v>
      </c>
      <c r="O5" s="17" t="s">
        <v>62</v>
      </c>
      <c r="P5" s="17" t="s">
        <v>63</v>
      </c>
      <c r="Q5" s="17" t="s">
        <v>64</v>
      </c>
      <c r="R5" s="16" t="s">
        <v>65</v>
      </c>
      <c r="S5" s="16"/>
      <c r="T5" s="19" t="s">
        <v>66</v>
      </c>
      <c r="U5" s="19" t="s">
        <v>67</v>
      </c>
    </row>
    <row r="6" customFormat="false" ht="96" hidden="false" customHeight="true" outlineLevel="0" collapsed="false">
      <c r="A6" s="16" t="n">
        <v>2</v>
      </c>
      <c r="B6" s="16" t="s">
        <v>68</v>
      </c>
      <c r="C6" s="17" t="s">
        <v>69</v>
      </c>
      <c r="D6" s="17" t="s">
        <v>70</v>
      </c>
      <c r="E6" s="16" t="n">
        <v>2026</v>
      </c>
      <c r="F6" s="17" t="s">
        <v>71</v>
      </c>
      <c r="G6" s="16" t="s">
        <v>56</v>
      </c>
      <c r="H6" s="20" t="s">
        <v>25</v>
      </c>
      <c r="I6" s="17" t="s">
        <v>72</v>
      </c>
      <c r="J6" s="17" t="s">
        <v>73</v>
      </c>
      <c r="K6" s="17" t="s">
        <v>73</v>
      </c>
      <c r="L6" s="17" t="s">
        <v>74</v>
      </c>
      <c r="M6" s="17" t="s">
        <v>75</v>
      </c>
      <c r="N6" s="17" t="s">
        <v>76</v>
      </c>
      <c r="O6" s="17" t="s">
        <v>76</v>
      </c>
      <c r="P6" s="17" t="s">
        <v>77</v>
      </c>
      <c r="Q6" s="17" t="s">
        <v>78</v>
      </c>
      <c r="R6" s="16" t="s">
        <v>65</v>
      </c>
      <c r="S6" s="16"/>
      <c r="T6" s="19" t="s">
        <v>79</v>
      </c>
      <c r="U6" s="19" t="s">
        <v>67</v>
      </c>
    </row>
    <row r="7" customFormat="false" ht="96" hidden="false" customHeight="true" outlineLevel="0" collapsed="false">
      <c r="A7" s="16" t="n">
        <v>3</v>
      </c>
      <c r="B7" s="16" t="s">
        <v>80</v>
      </c>
      <c r="C7" s="17" t="s">
        <v>81</v>
      </c>
      <c r="D7" s="17" t="s">
        <v>82</v>
      </c>
      <c r="E7" s="16" t="n">
        <v>2026</v>
      </c>
      <c r="F7" s="17" t="s">
        <v>83</v>
      </c>
      <c r="G7" s="16" t="s">
        <v>84</v>
      </c>
      <c r="H7" s="18" t="s">
        <v>23</v>
      </c>
      <c r="I7" s="17" t="s">
        <v>23</v>
      </c>
      <c r="J7" s="17" t="s">
        <v>85</v>
      </c>
      <c r="K7" s="17" t="s">
        <v>86</v>
      </c>
      <c r="L7" s="17" t="s">
        <v>87</v>
      </c>
      <c r="M7" s="17" t="s">
        <v>88</v>
      </c>
      <c r="N7" s="17" t="s">
        <v>89</v>
      </c>
      <c r="O7" s="17" t="s">
        <v>76</v>
      </c>
      <c r="P7" s="17" t="s">
        <v>90</v>
      </c>
      <c r="Q7" s="17" t="s">
        <v>91</v>
      </c>
      <c r="R7" s="16" t="s">
        <v>65</v>
      </c>
      <c r="S7" s="16"/>
      <c r="T7" s="19" t="s">
        <v>92</v>
      </c>
      <c r="U7" s="19" t="s">
        <v>67</v>
      </c>
    </row>
    <row r="8" customFormat="false" ht="96" hidden="false" customHeight="true" outlineLevel="0" collapsed="false">
      <c r="A8" s="16" t="n">
        <v>4</v>
      </c>
      <c r="B8" s="16" t="s">
        <v>93</v>
      </c>
      <c r="C8" s="17" t="s">
        <v>94</v>
      </c>
      <c r="D8" s="17" t="s">
        <v>95</v>
      </c>
      <c r="E8" s="16" t="n">
        <v>2026</v>
      </c>
      <c r="F8" s="17" t="s">
        <v>96</v>
      </c>
      <c r="G8" s="16" t="s">
        <v>56</v>
      </c>
      <c r="H8" s="20" t="s">
        <v>25</v>
      </c>
      <c r="I8" s="17" t="s">
        <v>72</v>
      </c>
      <c r="J8" s="17" t="s">
        <v>97</v>
      </c>
      <c r="K8" s="17" t="s">
        <v>98</v>
      </c>
      <c r="L8" s="17" t="s">
        <v>99</v>
      </c>
      <c r="M8" s="17" t="s">
        <v>100</v>
      </c>
      <c r="N8" s="17" t="s">
        <v>76</v>
      </c>
      <c r="O8" s="17" t="s">
        <v>76</v>
      </c>
      <c r="P8" s="17" t="s">
        <v>101</v>
      </c>
      <c r="Q8" s="17" t="s">
        <v>102</v>
      </c>
      <c r="R8" s="16" t="s">
        <v>103</v>
      </c>
      <c r="S8" s="19" t="s">
        <v>104</v>
      </c>
      <c r="T8" s="19" t="s">
        <v>104</v>
      </c>
      <c r="U8" s="19" t="s">
        <v>67</v>
      </c>
    </row>
    <row r="9" customFormat="false" ht="96" hidden="false" customHeight="true" outlineLevel="0" collapsed="false">
      <c r="A9" s="16" t="n">
        <v>5</v>
      </c>
      <c r="B9" s="16" t="s">
        <v>105</v>
      </c>
      <c r="C9" s="17" t="s">
        <v>106</v>
      </c>
      <c r="D9" s="17" t="s">
        <v>95</v>
      </c>
      <c r="E9" s="16" t="n">
        <v>2026</v>
      </c>
      <c r="F9" s="17" t="s">
        <v>71</v>
      </c>
      <c r="G9" s="16" t="s">
        <v>56</v>
      </c>
      <c r="H9" s="20" t="s">
        <v>25</v>
      </c>
      <c r="I9" s="17" t="s">
        <v>72</v>
      </c>
      <c r="J9" s="17" t="s">
        <v>73</v>
      </c>
      <c r="K9" s="17" t="s">
        <v>73</v>
      </c>
      <c r="L9" s="17" t="s">
        <v>107</v>
      </c>
      <c r="M9" s="17" t="s">
        <v>108</v>
      </c>
      <c r="N9" s="17" t="s">
        <v>76</v>
      </c>
      <c r="O9" s="17" t="s">
        <v>76</v>
      </c>
      <c r="P9" s="17" t="s">
        <v>77</v>
      </c>
      <c r="Q9" s="17" t="s">
        <v>109</v>
      </c>
      <c r="R9" s="16" t="s">
        <v>65</v>
      </c>
      <c r="S9" s="16"/>
      <c r="T9" s="19" t="s">
        <v>110</v>
      </c>
      <c r="U9" s="19" t="s">
        <v>67</v>
      </c>
    </row>
    <row r="10" customFormat="false" ht="96" hidden="false" customHeight="true" outlineLevel="0" collapsed="false">
      <c r="A10" s="16" t="n">
        <v>6</v>
      </c>
      <c r="B10" s="16" t="s">
        <v>111</v>
      </c>
      <c r="C10" s="17" t="s">
        <v>112</v>
      </c>
      <c r="D10" s="17" t="s">
        <v>113</v>
      </c>
      <c r="E10" s="16" t="n">
        <v>2026</v>
      </c>
      <c r="F10" s="17" t="s">
        <v>71</v>
      </c>
      <c r="G10" s="16" t="s">
        <v>56</v>
      </c>
      <c r="H10" s="18" t="s">
        <v>23</v>
      </c>
      <c r="I10" s="17" t="s">
        <v>23</v>
      </c>
      <c r="J10" s="17" t="s">
        <v>114</v>
      </c>
      <c r="K10" s="17" t="s">
        <v>115</v>
      </c>
      <c r="L10" s="17" t="s">
        <v>116</v>
      </c>
      <c r="M10" s="17" t="s">
        <v>117</v>
      </c>
      <c r="N10" s="17" t="s">
        <v>118</v>
      </c>
      <c r="O10" s="17" t="s">
        <v>76</v>
      </c>
      <c r="P10" s="17" t="s">
        <v>119</v>
      </c>
      <c r="Q10" s="17" t="s">
        <v>120</v>
      </c>
      <c r="R10" s="16" t="s">
        <v>65</v>
      </c>
      <c r="S10" s="16"/>
      <c r="T10" s="19" t="s">
        <v>121</v>
      </c>
      <c r="U10" s="19" t="s">
        <v>67</v>
      </c>
    </row>
    <row r="11" customFormat="false" ht="96" hidden="false" customHeight="true" outlineLevel="0" collapsed="false">
      <c r="A11" s="16" t="n">
        <v>7</v>
      </c>
      <c r="B11" s="16" t="s">
        <v>122</v>
      </c>
      <c r="C11" s="17" t="s">
        <v>123</v>
      </c>
      <c r="D11" s="17" t="s">
        <v>124</v>
      </c>
      <c r="E11" s="16" t="n">
        <v>2026</v>
      </c>
      <c r="F11" s="17" t="s">
        <v>71</v>
      </c>
      <c r="G11" s="16" t="s">
        <v>56</v>
      </c>
      <c r="H11" s="21" t="s">
        <v>11</v>
      </c>
      <c r="I11" s="17" t="s">
        <v>125</v>
      </c>
      <c r="J11" s="17" t="s">
        <v>126</v>
      </c>
      <c r="K11" s="17" t="s">
        <v>127</v>
      </c>
      <c r="L11" s="17" t="s">
        <v>128</v>
      </c>
      <c r="M11" s="17" t="s">
        <v>129</v>
      </c>
      <c r="N11" s="17" t="s">
        <v>130</v>
      </c>
      <c r="O11" s="17" t="s">
        <v>131</v>
      </c>
      <c r="P11" s="17" t="s">
        <v>132</v>
      </c>
      <c r="Q11" s="17" t="s">
        <v>133</v>
      </c>
      <c r="R11" s="16" t="s">
        <v>65</v>
      </c>
      <c r="S11" s="16"/>
      <c r="T11" s="19" t="s">
        <v>134</v>
      </c>
      <c r="U11" s="19" t="s">
        <v>67</v>
      </c>
    </row>
    <row r="12" customFormat="false" ht="96" hidden="false" customHeight="true" outlineLevel="0" collapsed="false">
      <c r="A12" s="16" t="n">
        <v>8</v>
      </c>
      <c r="B12" s="16" t="s">
        <v>135</v>
      </c>
      <c r="C12" s="17" t="s">
        <v>136</v>
      </c>
      <c r="D12" s="17" t="s">
        <v>137</v>
      </c>
      <c r="E12" s="16" t="n">
        <v>2026</v>
      </c>
      <c r="F12" s="17" t="s">
        <v>138</v>
      </c>
      <c r="G12" s="16" t="s">
        <v>84</v>
      </c>
      <c r="H12" s="20" t="s">
        <v>25</v>
      </c>
      <c r="I12" s="17" t="s">
        <v>72</v>
      </c>
      <c r="J12" s="17" t="s">
        <v>73</v>
      </c>
      <c r="K12" s="17" t="s">
        <v>73</v>
      </c>
      <c r="L12" s="17" t="s">
        <v>139</v>
      </c>
      <c r="M12" s="17" t="s">
        <v>140</v>
      </c>
      <c r="N12" s="17" t="s">
        <v>76</v>
      </c>
      <c r="O12" s="17" t="s">
        <v>76</v>
      </c>
      <c r="P12" s="17" t="s">
        <v>141</v>
      </c>
      <c r="Q12" s="17" t="s">
        <v>142</v>
      </c>
      <c r="R12" s="16" t="s">
        <v>65</v>
      </c>
      <c r="S12" s="16"/>
      <c r="T12" s="19" t="s">
        <v>143</v>
      </c>
      <c r="U12" s="19" t="s">
        <v>67</v>
      </c>
    </row>
    <row r="13" customFormat="false" ht="96" hidden="false" customHeight="true" outlineLevel="0" collapsed="false">
      <c r="A13" s="16" t="n">
        <v>9</v>
      </c>
      <c r="B13" s="16" t="s">
        <v>144</v>
      </c>
      <c r="C13" s="17" t="s">
        <v>145</v>
      </c>
      <c r="D13" s="17" t="s">
        <v>146</v>
      </c>
      <c r="E13" s="16" t="n">
        <v>2025</v>
      </c>
      <c r="F13" s="17" t="s">
        <v>147</v>
      </c>
      <c r="G13" s="16" t="s">
        <v>148</v>
      </c>
      <c r="H13" s="18" t="s">
        <v>23</v>
      </c>
      <c r="I13" s="17" t="s">
        <v>23</v>
      </c>
      <c r="J13" s="17" t="s">
        <v>149</v>
      </c>
      <c r="K13" s="17" t="s">
        <v>150</v>
      </c>
      <c r="L13" s="17" t="s">
        <v>151</v>
      </c>
      <c r="M13" s="17" t="s">
        <v>152</v>
      </c>
      <c r="N13" s="17" t="s">
        <v>153</v>
      </c>
      <c r="O13" s="17" t="s">
        <v>76</v>
      </c>
      <c r="P13" s="17" t="s">
        <v>154</v>
      </c>
      <c r="Q13" s="17" t="s">
        <v>155</v>
      </c>
      <c r="R13" s="16" t="s">
        <v>103</v>
      </c>
      <c r="S13" s="19" t="s">
        <v>156</v>
      </c>
      <c r="T13" s="19" t="s">
        <v>157</v>
      </c>
      <c r="U13" s="19" t="s">
        <v>67</v>
      </c>
    </row>
    <row r="14" customFormat="false" ht="96" hidden="false" customHeight="true" outlineLevel="0" collapsed="false">
      <c r="A14" s="16" t="n">
        <v>10</v>
      </c>
      <c r="B14" s="16" t="s">
        <v>158</v>
      </c>
      <c r="C14" s="17" t="s">
        <v>159</v>
      </c>
      <c r="D14" s="17" t="s">
        <v>160</v>
      </c>
      <c r="E14" s="16" t="n">
        <v>2025</v>
      </c>
      <c r="F14" s="17" t="s">
        <v>161</v>
      </c>
      <c r="G14" s="16" t="s">
        <v>162</v>
      </c>
      <c r="H14" s="18" t="s">
        <v>23</v>
      </c>
      <c r="I14" s="17" t="s">
        <v>23</v>
      </c>
      <c r="J14" s="17" t="s">
        <v>163</v>
      </c>
      <c r="K14" s="17" t="s">
        <v>164</v>
      </c>
      <c r="L14" s="17" t="s">
        <v>165</v>
      </c>
      <c r="M14" s="17" t="s">
        <v>166</v>
      </c>
      <c r="N14" s="17" t="s">
        <v>167</v>
      </c>
      <c r="O14" s="17" t="s">
        <v>168</v>
      </c>
      <c r="P14" s="17" t="s">
        <v>169</v>
      </c>
      <c r="Q14" s="17" t="s">
        <v>170</v>
      </c>
      <c r="R14" s="16" t="s">
        <v>65</v>
      </c>
      <c r="S14" s="16"/>
      <c r="T14" s="19" t="s">
        <v>171</v>
      </c>
      <c r="U14" s="19" t="s">
        <v>67</v>
      </c>
    </row>
    <row r="15" customFormat="false" ht="96" hidden="false" customHeight="true" outlineLevel="0" collapsed="false">
      <c r="A15" s="16" t="n">
        <v>11</v>
      </c>
      <c r="B15" s="16" t="s">
        <v>172</v>
      </c>
      <c r="C15" s="17" t="s">
        <v>173</v>
      </c>
      <c r="D15" s="17" t="s">
        <v>174</v>
      </c>
      <c r="E15" s="16" t="n">
        <v>2025</v>
      </c>
      <c r="F15" s="17" t="s">
        <v>71</v>
      </c>
      <c r="G15" s="16" t="s">
        <v>56</v>
      </c>
      <c r="H15" s="21" t="s">
        <v>11</v>
      </c>
      <c r="I15" s="17" t="s">
        <v>125</v>
      </c>
      <c r="J15" s="17" t="s">
        <v>126</v>
      </c>
      <c r="K15" s="17" t="s">
        <v>175</v>
      </c>
      <c r="L15" s="17" t="s">
        <v>176</v>
      </c>
      <c r="M15" s="17" t="s">
        <v>177</v>
      </c>
      <c r="N15" s="17" t="s">
        <v>178</v>
      </c>
      <c r="O15" s="17" t="s">
        <v>179</v>
      </c>
      <c r="P15" s="17" t="s">
        <v>77</v>
      </c>
      <c r="Q15" s="17" t="s">
        <v>180</v>
      </c>
      <c r="R15" s="16" t="s">
        <v>65</v>
      </c>
      <c r="S15" s="16"/>
      <c r="T15" s="19" t="s">
        <v>181</v>
      </c>
      <c r="U15" s="19" t="s">
        <v>67</v>
      </c>
    </row>
    <row r="16" customFormat="false" ht="96" hidden="false" customHeight="true" outlineLevel="0" collapsed="false">
      <c r="A16" s="16" t="n">
        <v>12</v>
      </c>
      <c r="B16" s="16" t="s">
        <v>182</v>
      </c>
      <c r="C16" s="17" t="s">
        <v>183</v>
      </c>
      <c r="D16" s="17" t="s">
        <v>184</v>
      </c>
      <c r="E16" s="16" t="n">
        <v>2025</v>
      </c>
      <c r="F16" s="17" t="s">
        <v>185</v>
      </c>
      <c r="G16" s="16" t="s">
        <v>84</v>
      </c>
      <c r="H16" s="21" t="s">
        <v>11</v>
      </c>
      <c r="I16" s="17" t="s">
        <v>125</v>
      </c>
      <c r="J16" s="17" t="s">
        <v>186</v>
      </c>
      <c r="K16" s="17" t="s">
        <v>187</v>
      </c>
      <c r="L16" s="17" t="s">
        <v>188</v>
      </c>
      <c r="M16" s="17" t="s">
        <v>189</v>
      </c>
      <c r="N16" s="17" t="s">
        <v>130</v>
      </c>
      <c r="O16" s="17" t="s">
        <v>190</v>
      </c>
      <c r="P16" s="17" t="s">
        <v>191</v>
      </c>
      <c r="Q16" s="17" t="s">
        <v>192</v>
      </c>
      <c r="R16" s="16" t="s">
        <v>103</v>
      </c>
      <c r="S16" s="19" t="s">
        <v>193</v>
      </c>
      <c r="T16" s="19" t="s">
        <v>194</v>
      </c>
      <c r="U16" s="19" t="s">
        <v>67</v>
      </c>
    </row>
    <row r="17" customFormat="false" ht="96" hidden="false" customHeight="true" outlineLevel="0" collapsed="false">
      <c r="A17" s="16" t="n">
        <v>13</v>
      </c>
      <c r="B17" s="16" t="s">
        <v>195</v>
      </c>
      <c r="C17" s="17" t="s">
        <v>196</v>
      </c>
      <c r="D17" s="17" t="s">
        <v>197</v>
      </c>
      <c r="E17" s="16" t="n">
        <v>2025</v>
      </c>
      <c r="F17" s="17" t="s">
        <v>198</v>
      </c>
      <c r="G17" s="16" t="s">
        <v>199</v>
      </c>
      <c r="H17" s="21" t="s">
        <v>11</v>
      </c>
      <c r="I17" s="17" t="s">
        <v>125</v>
      </c>
      <c r="J17" s="17" t="s">
        <v>186</v>
      </c>
      <c r="K17" s="17" t="s">
        <v>200</v>
      </c>
      <c r="L17" s="17" t="s">
        <v>201</v>
      </c>
      <c r="M17" s="17" t="s">
        <v>202</v>
      </c>
      <c r="N17" s="17" t="s">
        <v>130</v>
      </c>
      <c r="O17" s="17" t="s">
        <v>131</v>
      </c>
      <c r="P17" s="17" t="s">
        <v>203</v>
      </c>
      <c r="Q17" s="17" t="s">
        <v>204</v>
      </c>
      <c r="R17" s="16" t="s">
        <v>65</v>
      </c>
      <c r="S17" s="16"/>
      <c r="T17" s="19" t="s">
        <v>205</v>
      </c>
      <c r="U17" s="19" t="s">
        <v>67</v>
      </c>
    </row>
    <row r="18" customFormat="false" ht="96" hidden="false" customHeight="true" outlineLevel="0" collapsed="false">
      <c r="A18" s="16" t="n">
        <v>14</v>
      </c>
      <c r="B18" s="16" t="s">
        <v>206</v>
      </c>
      <c r="C18" s="17" t="s">
        <v>207</v>
      </c>
      <c r="D18" s="17" t="s">
        <v>208</v>
      </c>
      <c r="E18" s="16" t="n">
        <v>2025</v>
      </c>
      <c r="F18" s="17" t="s">
        <v>209</v>
      </c>
      <c r="G18" s="16" t="s">
        <v>199</v>
      </c>
      <c r="H18" s="21" t="s">
        <v>11</v>
      </c>
      <c r="I18" s="17" t="s">
        <v>125</v>
      </c>
      <c r="J18" s="17" t="s">
        <v>186</v>
      </c>
      <c r="K18" s="17" t="s">
        <v>210</v>
      </c>
      <c r="L18" s="17" t="s">
        <v>211</v>
      </c>
      <c r="M18" s="17" t="s">
        <v>212</v>
      </c>
      <c r="N18" s="17" t="s">
        <v>213</v>
      </c>
      <c r="O18" s="17" t="s">
        <v>214</v>
      </c>
      <c r="P18" s="17" t="s">
        <v>215</v>
      </c>
      <c r="Q18" s="17" t="s">
        <v>216</v>
      </c>
      <c r="R18" s="16" t="s">
        <v>103</v>
      </c>
      <c r="S18" s="19" t="s">
        <v>217</v>
      </c>
      <c r="T18" s="19" t="s">
        <v>218</v>
      </c>
      <c r="U18" s="19" t="s">
        <v>67</v>
      </c>
    </row>
    <row r="19" customFormat="false" ht="96" hidden="false" customHeight="true" outlineLevel="0" collapsed="false">
      <c r="A19" s="16" t="n">
        <v>15</v>
      </c>
      <c r="B19" s="16" t="s">
        <v>219</v>
      </c>
      <c r="C19" s="17" t="s">
        <v>220</v>
      </c>
      <c r="D19" s="17" t="s">
        <v>221</v>
      </c>
      <c r="E19" s="16" t="n">
        <v>2025</v>
      </c>
      <c r="F19" s="17" t="s">
        <v>222</v>
      </c>
      <c r="G19" s="16" t="s">
        <v>199</v>
      </c>
      <c r="H19" s="22" t="s">
        <v>9</v>
      </c>
      <c r="I19" s="17" t="s">
        <v>223</v>
      </c>
      <c r="J19" s="17" t="s">
        <v>224</v>
      </c>
      <c r="K19" s="17" t="s">
        <v>225</v>
      </c>
      <c r="L19" s="17" t="s">
        <v>226</v>
      </c>
      <c r="M19" s="17" t="s">
        <v>227</v>
      </c>
      <c r="N19" s="17" t="s">
        <v>228</v>
      </c>
      <c r="O19" s="17" t="s">
        <v>229</v>
      </c>
      <c r="P19" s="17" t="s">
        <v>230</v>
      </c>
      <c r="Q19" s="17" t="s">
        <v>231</v>
      </c>
      <c r="R19" s="16" t="s">
        <v>103</v>
      </c>
      <c r="S19" s="19" t="s">
        <v>232</v>
      </c>
      <c r="T19" s="19" t="s">
        <v>233</v>
      </c>
      <c r="U19" s="19" t="s">
        <v>67</v>
      </c>
    </row>
    <row r="20" customFormat="false" ht="96" hidden="false" customHeight="true" outlineLevel="0" collapsed="false">
      <c r="A20" s="16" t="n">
        <v>16</v>
      </c>
      <c r="B20" s="16" t="s">
        <v>234</v>
      </c>
      <c r="C20" s="17" t="s">
        <v>235</v>
      </c>
      <c r="D20" s="17" t="s">
        <v>236</v>
      </c>
      <c r="E20" s="16" t="n">
        <v>2025</v>
      </c>
      <c r="F20" s="17" t="s">
        <v>237</v>
      </c>
      <c r="G20" s="16" t="s">
        <v>199</v>
      </c>
      <c r="H20" s="18" t="s">
        <v>23</v>
      </c>
      <c r="I20" s="17" t="s">
        <v>23</v>
      </c>
      <c r="J20" s="17" t="s">
        <v>238</v>
      </c>
      <c r="K20" s="17" t="s">
        <v>239</v>
      </c>
      <c r="L20" s="17" t="s">
        <v>240</v>
      </c>
      <c r="M20" s="17" t="s">
        <v>241</v>
      </c>
      <c r="N20" s="17" t="s">
        <v>242</v>
      </c>
      <c r="O20" s="17" t="s">
        <v>76</v>
      </c>
      <c r="P20" s="17" t="s">
        <v>243</v>
      </c>
      <c r="Q20" s="17" t="s">
        <v>244</v>
      </c>
      <c r="R20" s="16" t="s">
        <v>65</v>
      </c>
      <c r="S20" s="16"/>
      <c r="T20" s="19" t="s">
        <v>245</v>
      </c>
      <c r="U20" s="19" t="s">
        <v>67</v>
      </c>
    </row>
    <row r="21" customFormat="false" ht="96" hidden="false" customHeight="true" outlineLevel="0" collapsed="false">
      <c r="A21" s="16" t="n">
        <v>17</v>
      </c>
      <c r="B21" s="16" t="s">
        <v>246</v>
      </c>
      <c r="C21" s="17" t="s">
        <v>247</v>
      </c>
      <c r="D21" s="17" t="s">
        <v>248</v>
      </c>
      <c r="E21" s="16" t="n">
        <v>2025</v>
      </c>
      <c r="F21" s="17" t="s">
        <v>249</v>
      </c>
      <c r="G21" s="16" t="s">
        <v>84</v>
      </c>
      <c r="H21" s="20" t="s">
        <v>25</v>
      </c>
      <c r="I21" s="17" t="s">
        <v>72</v>
      </c>
      <c r="J21" s="17" t="s">
        <v>73</v>
      </c>
      <c r="K21" s="17" t="s">
        <v>73</v>
      </c>
      <c r="L21" s="17" t="s">
        <v>250</v>
      </c>
      <c r="M21" s="17" t="s">
        <v>251</v>
      </c>
      <c r="N21" s="17" t="s">
        <v>76</v>
      </c>
      <c r="O21" s="17" t="s">
        <v>76</v>
      </c>
      <c r="P21" s="17" t="s">
        <v>252</v>
      </c>
      <c r="Q21" s="17" t="s">
        <v>253</v>
      </c>
      <c r="R21" s="16" t="s">
        <v>65</v>
      </c>
      <c r="S21" s="16"/>
      <c r="T21" s="19" t="s">
        <v>254</v>
      </c>
      <c r="U21" s="19" t="s">
        <v>67</v>
      </c>
    </row>
    <row r="22" customFormat="false" ht="96" hidden="false" customHeight="true" outlineLevel="0" collapsed="false">
      <c r="A22" s="16" t="n">
        <v>18</v>
      </c>
      <c r="B22" s="16" t="s">
        <v>255</v>
      </c>
      <c r="C22" s="17" t="s">
        <v>256</v>
      </c>
      <c r="D22" s="17" t="s">
        <v>257</v>
      </c>
      <c r="E22" s="16" t="n">
        <v>2025</v>
      </c>
      <c r="F22" s="17" t="s">
        <v>209</v>
      </c>
      <c r="G22" s="16" t="s">
        <v>199</v>
      </c>
      <c r="H22" s="21" t="s">
        <v>13</v>
      </c>
      <c r="I22" s="17" t="s">
        <v>125</v>
      </c>
      <c r="J22" s="17" t="s">
        <v>224</v>
      </c>
      <c r="K22" s="17" t="s">
        <v>258</v>
      </c>
      <c r="L22" s="17" t="s">
        <v>259</v>
      </c>
      <c r="M22" s="17" t="s">
        <v>260</v>
      </c>
      <c r="N22" s="17" t="s">
        <v>261</v>
      </c>
      <c r="O22" s="17" t="s">
        <v>262</v>
      </c>
      <c r="P22" s="17" t="s">
        <v>263</v>
      </c>
      <c r="Q22" s="17" t="s">
        <v>264</v>
      </c>
      <c r="R22" s="16" t="s">
        <v>65</v>
      </c>
      <c r="S22" s="16"/>
      <c r="T22" s="19" t="s">
        <v>265</v>
      </c>
      <c r="U22" s="19" t="s">
        <v>67</v>
      </c>
    </row>
    <row r="23" customFormat="false" ht="96" hidden="false" customHeight="true" outlineLevel="0" collapsed="false">
      <c r="A23" s="16" t="n">
        <v>19</v>
      </c>
      <c r="B23" s="16" t="s">
        <v>266</v>
      </c>
      <c r="C23" s="17" t="s">
        <v>267</v>
      </c>
      <c r="D23" s="17" t="s">
        <v>268</v>
      </c>
      <c r="E23" s="16" t="n">
        <v>2025</v>
      </c>
      <c r="F23" s="17" t="s">
        <v>71</v>
      </c>
      <c r="G23" s="16" t="s">
        <v>56</v>
      </c>
      <c r="H23" s="18" t="s">
        <v>23</v>
      </c>
      <c r="I23" s="17" t="s">
        <v>23</v>
      </c>
      <c r="J23" s="17" t="s">
        <v>114</v>
      </c>
      <c r="K23" s="17" t="s">
        <v>269</v>
      </c>
      <c r="L23" s="17" t="s">
        <v>270</v>
      </c>
      <c r="M23" s="17" t="s">
        <v>271</v>
      </c>
      <c r="N23" s="17" t="s">
        <v>272</v>
      </c>
      <c r="O23" s="17" t="s">
        <v>76</v>
      </c>
      <c r="P23" s="17" t="s">
        <v>273</v>
      </c>
      <c r="Q23" s="17" t="s">
        <v>274</v>
      </c>
      <c r="R23" s="16" t="s">
        <v>65</v>
      </c>
      <c r="S23" s="16"/>
      <c r="T23" s="19" t="s">
        <v>275</v>
      </c>
      <c r="U23" s="19" t="s">
        <v>67</v>
      </c>
    </row>
    <row r="24" customFormat="false" ht="96" hidden="false" customHeight="true" outlineLevel="0" collapsed="false">
      <c r="A24" s="16" t="n">
        <v>20</v>
      </c>
      <c r="B24" s="16" t="s">
        <v>276</v>
      </c>
      <c r="C24" s="17" t="s">
        <v>277</v>
      </c>
      <c r="D24" s="17" t="s">
        <v>278</v>
      </c>
      <c r="E24" s="16" t="n">
        <v>2025</v>
      </c>
      <c r="F24" s="17" t="s">
        <v>71</v>
      </c>
      <c r="G24" s="16" t="s">
        <v>56</v>
      </c>
      <c r="H24" s="22" t="s">
        <v>9</v>
      </c>
      <c r="I24" s="17" t="s">
        <v>223</v>
      </c>
      <c r="J24" s="17" t="s">
        <v>279</v>
      </c>
      <c r="K24" s="17" t="s">
        <v>280</v>
      </c>
      <c r="L24" s="17" t="s">
        <v>281</v>
      </c>
      <c r="M24" s="17" t="s">
        <v>282</v>
      </c>
      <c r="N24" s="17" t="s">
        <v>283</v>
      </c>
      <c r="O24" s="17" t="s">
        <v>284</v>
      </c>
      <c r="P24" s="17" t="s">
        <v>285</v>
      </c>
      <c r="Q24" s="17" t="s">
        <v>286</v>
      </c>
      <c r="R24" s="16" t="s">
        <v>65</v>
      </c>
      <c r="S24" s="16"/>
      <c r="T24" s="19" t="s">
        <v>287</v>
      </c>
      <c r="U24" s="19" t="s">
        <v>67</v>
      </c>
    </row>
    <row r="25" customFormat="false" ht="96" hidden="false" customHeight="true" outlineLevel="0" collapsed="false">
      <c r="A25" s="16" t="n">
        <v>21</v>
      </c>
      <c r="B25" s="16" t="s">
        <v>288</v>
      </c>
      <c r="C25" s="17" t="s">
        <v>289</v>
      </c>
      <c r="D25" s="17" t="s">
        <v>290</v>
      </c>
      <c r="E25" s="16" t="n">
        <v>2025</v>
      </c>
      <c r="F25" s="17" t="s">
        <v>291</v>
      </c>
      <c r="G25" s="16" t="s">
        <v>199</v>
      </c>
      <c r="H25" s="22" t="s">
        <v>9</v>
      </c>
      <c r="I25" s="17" t="s">
        <v>223</v>
      </c>
      <c r="J25" s="17" t="s">
        <v>292</v>
      </c>
      <c r="K25" s="17" t="s">
        <v>293</v>
      </c>
      <c r="L25" s="17" t="s">
        <v>294</v>
      </c>
      <c r="M25" s="17" t="s">
        <v>295</v>
      </c>
      <c r="N25" s="17" t="s">
        <v>296</v>
      </c>
      <c r="O25" s="17" t="s">
        <v>297</v>
      </c>
      <c r="P25" s="17" t="s">
        <v>298</v>
      </c>
      <c r="Q25" s="17" t="s">
        <v>299</v>
      </c>
      <c r="R25" s="16" t="s">
        <v>103</v>
      </c>
      <c r="S25" s="19" t="s">
        <v>300</v>
      </c>
      <c r="T25" s="19" t="s">
        <v>301</v>
      </c>
      <c r="U25" s="19" t="s">
        <v>67</v>
      </c>
    </row>
    <row r="26" customFormat="false" ht="96" hidden="false" customHeight="true" outlineLevel="0" collapsed="false">
      <c r="A26" s="16" t="n">
        <v>22</v>
      </c>
      <c r="B26" s="16" t="s">
        <v>302</v>
      </c>
      <c r="C26" s="17" t="s">
        <v>303</v>
      </c>
      <c r="D26" s="17" t="s">
        <v>304</v>
      </c>
      <c r="E26" s="16" t="n">
        <v>2025</v>
      </c>
      <c r="F26" s="17" t="s">
        <v>71</v>
      </c>
      <c r="G26" s="16" t="s">
        <v>56</v>
      </c>
      <c r="H26" s="21" t="s">
        <v>11</v>
      </c>
      <c r="I26" s="17" t="s">
        <v>125</v>
      </c>
      <c r="J26" s="17" t="s">
        <v>305</v>
      </c>
      <c r="K26" s="17" t="s">
        <v>306</v>
      </c>
      <c r="L26" s="17" t="s">
        <v>307</v>
      </c>
      <c r="M26" s="17" t="s">
        <v>308</v>
      </c>
      <c r="N26" s="17" t="s">
        <v>309</v>
      </c>
      <c r="O26" s="17" t="s">
        <v>310</v>
      </c>
      <c r="P26" s="17" t="s">
        <v>77</v>
      </c>
      <c r="Q26" s="17" t="s">
        <v>311</v>
      </c>
      <c r="R26" s="16" t="s">
        <v>65</v>
      </c>
      <c r="S26" s="16"/>
      <c r="T26" s="19" t="s">
        <v>312</v>
      </c>
      <c r="U26" s="19" t="s">
        <v>67</v>
      </c>
    </row>
    <row r="27" customFormat="false" ht="96" hidden="false" customHeight="true" outlineLevel="0" collapsed="false">
      <c r="A27" s="16" t="n">
        <v>23</v>
      </c>
      <c r="B27" s="16" t="s">
        <v>313</v>
      </c>
      <c r="C27" s="17" t="s">
        <v>314</v>
      </c>
      <c r="D27" s="17" t="s">
        <v>315</v>
      </c>
      <c r="E27" s="16" t="n">
        <v>2025</v>
      </c>
      <c r="F27" s="17" t="s">
        <v>71</v>
      </c>
      <c r="G27" s="16" t="s">
        <v>56</v>
      </c>
      <c r="H27" s="22" t="s">
        <v>9</v>
      </c>
      <c r="I27" s="17" t="s">
        <v>223</v>
      </c>
      <c r="J27" s="17" t="s">
        <v>126</v>
      </c>
      <c r="K27" s="17" t="s">
        <v>316</v>
      </c>
      <c r="L27" s="17" t="s">
        <v>317</v>
      </c>
      <c r="M27" s="17" t="s">
        <v>318</v>
      </c>
      <c r="N27" s="17" t="s">
        <v>319</v>
      </c>
      <c r="O27" s="17" t="s">
        <v>320</v>
      </c>
      <c r="P27" s="17" t="s">
        <v>321</v>
      </c>
      <c r="Q27" s="17" t="s">
        <v>322</v>
      </c>
      <c r="R27" s="16" t="s">
        <v>65</v>
      </c>
      <c r="S27" s="16"/>
      <c r="T27" s="19" t="s">
        <v>323</v>
      </c>
      <c r="U27" s="19" t="s">
        <v>67</v>
      </c>
    </row>
    <row r="28" customFormat="false" ht="96" hidden="false" customHeight="true" outlineLevel="0" collapsed="false">
      <c r="A28" s="16" t="n">
        <v>24</v>
      </c>
      <c r="B28" s="16" t="s">
        <v>324</v>
      </c>
      <c r="C28" s="17" t="s">
        <v>325</v>
      </c>
      <c r="D28" s="17" t="s">
        <v>326</v>
      </c>
      <c r="E28" s="16" t="n">
        <v>2025</v>
      </c>
      <c r="F28" s="17" t="s">
        <v>327</v>
      </c>
      <c r="G28" s="16" t="s">
        <v>148</v>
      </c>
      <c r="H28" s="23" t="s">
        <v>19</v>
      </c>
      <c r="I28" s="17" t="s">
        <v>328</v>
      </c>
      <c r="J28" s="17" t="s">
        <v>329</v>
      </c>
      <c r="K28" s="17" t="s">
        <v>330</v>
      </c>
      <c r="L28" s="17" t="s">
        <v>331</v>
      </c>
      <c r="M28" s="17" t="s">
        <v>332</v>
      </c>
      <c r="N28" s="17" t="s">
        <v>333</v>
      </c>
      <c r="O28" s="17" t="s">
        <v>334</v>
      </c>
      <c r="P28" s="17" t="s">
        <v>335</v>
      </c>
      <c r="Q28" s="17" t="s">
        <v>336</v>
      </c>
      <c r="R28" s="16" t="s">
        <v>103</v>
      </c>
      <c r="S28" s="19" t="s">
        <v>337</v>
      </c>
      <c r="T28" s="19" t="s">
        <v>338</v>
      </c>
      <c r="U28" s="19" t="s">
        <v>67</v>
      </c>
    </row>
    <row r="29" customFormat="false" ht="96" hidden="false" customHeight="true" outlineLevel="0" collapsed="false">
      <c r="A29" s="16" t="n">
        <v>25</v>
      </c>
      <c r="B29" s="16" t="s">
        <v>339</v>
      </c>
      <c r="C29" s="17" t="s">
        <v>340</v>
      </c>
      <c r="D29" s="17" t="s">
        <v>341</v>
      </c>
      <c r="E29" s="16" t="n">
        <v>2025</v>
      </c>
      <c r="F29" s="17" t="s">
        <v>138</v>
      </c>
      <c r="G29" s="16" t="s">
        <v>84</v>
      </c>
      <c r="H29" s="20" t="s">
        <v>25</v>
      </c>
      <c r="I29" s="17" t="s">
        <v>72</v>
      </c>
      <c r="J29" s="17" t="s">
        <v>73</v>
      </c>
      <c r="K29" s="17" t="s">
        <v>73</v>
      </c>
      <c r="L29" s="17" t="s">
        <v>342</v>
      </c>
      <c r="M29" s="17" t="s">
        <v>343</v>
      </c>
      <c r="N29" s="17" t="s">
        <v>76</v>
      </c>
      <c r="O29" s="17" t="s">
        <v>76</v>
      </c>
      <c r="P29" s="17" t="s">
        <v>344</v>
      </c>
      <c r="Q29" s="17" t="s">
        <v>345</v>
      </c>
      <c r="R29" s="16" t="s">
        <v>65</v>
      </c>
      <c r="S29" s="16"/>
      <c r="T29" s="19" t="s">
        <v>346</v>
      </c>
      <c r="U29" s="19" t="s">
        <v>67</v>
      </c>
    </row>
    <row r="30" customFormat="false" ht="96" hidden="false" customHeight="true" outlineLevel="0" collapsed="false">
      <c r="A30" s="16" t="n">
        <v>26</v>
      </c>
      <c r="B30" s="16" t="s">
        <v>347</v>
      </c>
      <c r="C30" s="17" t="s">
        <v>348</v>
      </c>
      <c r="D30" s="17" t="s">
        <v>349</v>
      </c>
      <c r="E30" s="16" t="n">
        <v>2024</v>
      </c>
      <c r="F30" s="17" t="s">
        <v>350</v>
      </c>
      <c r="G30" s="16" t="s">
        <v>199</v>
      </c>
      <c r="H30" s="23" t="s">
        <v>19</v>
      </c>
      <c r="I30" s="17" t="s">
        <v>328</v>
      </c>
      <c r="J30" s="17" t="s">
        <v>351</v>
      </c>
      <c r="K30" s="17" t="s">
        <v>352</v>
      </c>
      <c r="L30" s="17" t="s">
        <v>353</v>
      </c>
      <c r="M30" s="17" t="s">
        <v>354</v>
      </c>
      <c r="N30" s="17" t="s">
        <v>355</v>
      </c>
      <c r="O30" s="17" t="s">
        <v>356</v>
      </c>
      <c r="P30" s="17" t="s">
        <v>357</v>
      </c>
      <c r="Q30" s="17" t="s">
        <v>358</v>
      </c>
      <c r="R30" s="16" t="s">
        <v>103</v>
      </c>
      <c r="S30" s="19" t="s">
        <v>359</v>
      </c>
      <c r="T30" s="19" t="s">
        <v>360</v>
      </c>
      <c r="U30" s="19" t="s">
        <v>67</v>
      </c>
    </row>
    <row r="31" customFormat="false" ht="96" hidden="false" customHeight="true" outlineLevel="0" collapsed="false">
      <c r="A31" s="16" t="n">
        <v>27</v>
      </c>
      <c r="B31" s="16" t="s">
        <v>361</v>
      </c>
      <c r="C31" s="17" t="s">
        <v>362</v>
      </c>
      <c r="D31" s="17" t="s">
        <v>363</v>
      </c>
      <c r="E31" s="16" t="n">
        <v>2024</v>
      </c>
      <c r="F31" s="17" t="s">
        <v>209</v>
      </c>
      <c r="G31" s="16" t="s">
        <v>199</v>
      </c>
      <c r="H31" s="18" t="s">
        <v>23</v>
      </c>
      <c r="I31" s="17" t="s">
        <v>23</v>
      </c>
      <c r="J31" s="17" t="s">
        <v>364</v>
      </c>
      <c r="K31" s="17" t="s">
        <v>365</v>
      </c>
      <c r="L31" s="17" t="s">
        <v>366</v>
      </c>
      <c r="M31" s="17" t="s">
        <v>367</v>
      </c>
      <c r="N31" s="17" t="s">
        <v>368</v>
      </c>
      <c r="O31" s="17" t="s">
        <v>76</v>
      </c>
      <c r="P31" s="17" t="s">
        <v>369</v>
      </c>
      <c r="Q31" s="17" t="s">
        <v>370</v>
      </c>
      <c r="R31" s="16" t="s">
        <v>103</v>
      </c>
      <c r="S31" s="19" t="s">
        <v>371</v>
      </c>
      <c r="T31" s="19" t="s">
        <v>372</v>
      </c>
      <c r="U31" s="19" t="s">
        <v>67</v>
      </c>
    </row>
    <row r="32" customFormat="false" ht="96" hidden="false" customHeight="true" outlineLevel="0" collapsed="false">
      <c r="A32" s="16" t="n">
        <v>28</v>
      </c>
      <c r="B32" s="16" t="s">
        <v>373</v>
      </c>
      <c r="C32" s="17" t="s">
        <v>374</v>
      </c>
      <c r="D32" s="17" t="s">
        <v>375</v>
      </c>
      <c r="E32" s="16" t="n">
        <v>2024</v>
      </c>
      <c r="F32" s="17" t="s">
        <v>209</v>
      </c>
      <c r="G32" s="16" t="s">
        <v>199</v>
      </c>
      <c r="H32" s="21" t="s">
        <v>11</v>
      </c>
      <c r="I32" s="17" t="s">
        <v>125</v>
      </c>
      <c r="J32" s="17" t="s">
        <v>376</v>
      </c>
      <c r="K32" s="17" t="s">
        <v>377</v>
      </c>
      <c r="L32" s="17" t="s">
        <v>378</v>
      </c>
      <c r="M32" s="17" t="s">
        <v>379</v>
      </c>
      <c r="N32" s="17" t="s">
        <v>130</v>
      </c>
      <c r="O32" s="17" t="s">
        <v>380</v>
      </c>
      <c r="P32" s="17" t="s">
        <v>381</v>
      </c>
      <c r="Q32" s="17" t="s">
        <v>382</v>
      </c>
      <c r="R32" s="16" t="s">
        <v>103</v>
      </c>
      <c r="S32" s="19" t="s">
        <v>383</v>
      </c>
      <c r="T32" s="19" t="s">
        <v>384</v>
      </c>
      <c r="U32" s="19" t="s">
        <v>67</v>
      </c>
    </row>
    <row r="33" customFormat="false" ht="96" hidden="false" customHeight="true" outlineLevel="0" collapsed="false">
      <c r="A33" s="16" t="n">
        <v>29</v>
      </c>
      <c r="B33" s="16" t="s">
        <v>385</v>
      </c>
      <c r="C33" s="17" t="s">
        <v>386</v>
      </c>
      <c r="D33" s="17" t="s">
        <v>387</v>
      </c>
      <c r="E33" s="16" t="n">
        <v>2024</v>
      </c>
      <c r="F33" s="17" t="s">
        <v>388</v>
      </c>
      <c r="G33" s="16" t="s">
        <v>148</v>
      </c>
      <c r="H33" s="22" t="s">
        <v>9</v>
      </c>
      <c r="I33" s="17" t="s">
        <v>223</v>
      </c>
      <c r="J33" s="17" t="s">
        <v>389</v>
      </c>
      <c r="K33" s="17" t="s">
        <v>390</v>
      </c>
      <c r="L33" s="17" t="s">
        <v>391</v>
      </c>
      <c r="M33" s="17" t="s">
        <v>392</v>
      </c>
      <c r="N33" s="17" t="s">
        <v>393</v>
      </c>
      <c r="O33" s="17" t="s">
        <v>394</v>
      </c>
      <c r="P33" s="17" t="s">
        <v>395</v>
      </c>
      <c r="Q33" s="17" t="s">
        <v>396</v>
      </c>
      <c r="R33" s="16" t="s">
        <v>65</v>
      </c>
      <c r="S33" s="16"/>
      <c r="T33" s="19" t="s">
        <v>397</v>
      </c>
      <c r="U33" s="19" t="s">
        <v>67</v>
      </c>
    </row>
    <row r="34" customFormat="false" ht="96" hidden="false" customHeight="true" outlineLevel="0" collapsed="false">
      <c r="A34" s="16" t="n">
        <v>30</v>
      </c>
      <c r="B34" s="16" t="s">
        <v>398</v>
      </c>
      <c r="C34" s="17" t="s">
        <v>399</v>
      </c>
      <c r="D34" s="17" t="s">
        <v>400</v>
      </c>
      <c r="E34" s="16" t="n">
        <v>2024</v>
      </c>
      <c r="F34" s="17" t="s">
        <v>71</v>
      </c>
      <c r="G34" s="16" t="s">
        <v>56</v>
      </c>
      <c r="H34" s="21" t="s">
        <v>13</v>
      </c>
      <c r="I34" s="17" t="s">
        <v>125</v>
      </c>
      <c r="J34" s="17" t="s">
        <v>126</v>
      </c>
      <c r="K34" s="17" t="s">
        <v>401</v>
      </c>
      <c r="L34" s="17" t="s">
        <v>402</v>
      </c>
      <c r="M34" s="17" t="s">
        <v>403</v>
      </c>
      <c r="N34" s="17" t="s">
        <v>404</v>
      </c>
      <c r="O34" s="17" t="s">
        <v>262</v>
      </c>
      <c r="P34" s="17" t="s">
        <v>405</v>
      </c>
      <c r="Q34" s="17" t="s">
        <v>406</v>
      </c>
      <c r="R34" s="16" t="s">
        <v>65</v>
      </c>
      <c r="S34" s="16"/>
      <c r="T34" s="19" t="s">
        <v>407</v>
      </c>
      <c r="U34" s="19" t="s">
        <v>67</v>
      </c>
    </row>
    <row r="35" customFormat="false" ht="96" hidden="false" customHeight="true" outlineLevel="0" collapsed="false">
      <c r="A35" s="16" t="n">
        <v>31</v>
      </c>
      <c r="B35" s="16" t="s">
        <v>408</v>
      </c>
      <c r="C35" s="17" t="s">
        <v>409</v>
      </c>
      <c r="D35" s="17" t="s">
        <v>410</v>
      </c>
      <c r="E35" s="16" t="n">
        <v>2024</v>
      </c>
      <c r="F35" s="17" t="s">
        <v>411</v>
      </c>
      <c r="G35" s="16" t="s">
        <v>199</v>
      </c>
      <c r="H35" s="23" t="s">
        <v>19</v>
      </c>
      <c r="I35" s="17" t="s">
        <v>328</v>
      </c>
      <c r="J35" s="17" t="s">
        <v>412</v>
      </c>
      <c r="K35" s="17" t="s">
        <v>413</v>
      </c>
      <c r="L35" s="17" t="s">
        <v>414</v>
      </c>
      <c r="M35" s="17" t="s">
        <v>415</v>
      </c>
      <c r="N35" s="17" t="s">
        <v>416</v>
      </c>
      <c r="O35" s="17" t="s">
        <v>334</v>
      </c>
      <c r="P35" s="17" t="s">
        <v>417</v>
      </c>
      <c r="Q35" s="17" t="s">
        <v>418</v>
      </c>
      <c r="R35" s="16" t="s">
        <v>65</v>
      </c>
      <c r="S35" s="16"/>
      <c r="T35" s="19" t="s">
        <v>419</v>
      </c>
      <c r="U35" s="19" t="s">
        <v>67</v>
      </c>
    </row>
    <row r="36" customFormat="false" ht="96" hidden="false" customHeight="true" outlineLevel="0" collapsed="false">
      <c r="A36" s="16" t="n">
        <v>32</v>
      </c>
      <c r="B36" s="16" t="s">
        <v>420</v>
      </c>
      <c r="C36" s="17" t="s">
        <v>421</v>
      </c>
      <c r="D36" s="17" t="s">
        <v>422</v>
      </c>
      <c r="E36" s="16" t="n">
        <v>2024</v>
      </c>
      <c r="F36" s="17" t="s">
        <v>423</v>
      </c>
      <c r="G36" s="16" t="s">
        <v>56</v>
      </c>
      <c r="H36" s="20" t="s">
        <v>25</v>
      </c>
      <c r="I36" s="17" t="s">
        <v>72</v>
      </c>
      <c r="J36" s="17" t="s">
        <v>424</v>
      </c>
      <c r="K36" s="17" t="s">
        <v>425</v>
      </c>
      <c r="L36" s="17" t="s">
        <v>426</v>
      </c>
      <c r="M36" s="17" t="s">
        <v>427</v>
      </c>
      <c r="N36" s="17" t="s">
        <v>76</v>
      </c>
      <c r="O36" s="17" t="s">
        <v>76</v>
      </c>
      <c r="P36" s="17" t="s">
        <v>428</v>
      </c>
      <c r="Q36" s="17" t="s">
        <v>429</v>
      </c>
      <c r="R36" s="16" t="s">
        <v>65</v>
      </c>
      <c r="S36" s="16"/>
      <c r="T36" s="19" t="s">
        <v>430</v>
      </c>
      <c r="U36" s="19" t="s">
        <v>67</v>
      </c>
    </row>
    <row r="37" customFormat="false" ht="96" hidden="false" customHeight="true" outlineLevel="0" collapsed="false">
      <c r="A37" s="16" t="n">
        <v>33</v>
      </c>
      <c r="B37" s="16" t="s">
        <v>431</v>
      </c>
      <c r="C37" s="17" t="s">
        <v>432</v>
      </c>
      <c r="D37" s="17" t="s">
        <v>433</v>
      </c>
      <c r="E37" s="16" t="n">
        <v>2024</v>
      </c>
      <c r="F37" s="17" t="s">
        <v>209</v>
      </c>
      <c r="G37" s="16" t="s">
        <v>199</v>
      </c>
      <c r="H37" s="22" t="s">
        <v>9</v>
      </c>
      <c r="I37" s="17" t="s">
        <v>223</v>
      </c>
      <c r="J37" s="17" t="s">
        <v>224</v>
      </c>
      <c r="K37" s="17" t="s">
        <v>434</v>
      </c>
      <c r="L37" s="17" t="s">
        <v>435</v>
      </c>
      <c r="M37" s="17" t="s">
        <v>436</v>
      </c>
      <c r="N37" s="17" t="s">
        <v>437</v>
      </c>
      <c r="O37" s="17" t="s">
        <v>438</v>
      </c>
      <c r="P37" s="17" t="s">
        <v>439</v>
      </c>
      <c r="Q37" s="17" t="s">
        <v>440</v>
      </c>
      <c r="R37" s="16" t="s">
        <v>65</v>
      </c>
      <c r="S37" s="16"/>
      <c r="T37" s="19" t="s">
        <v>441</v>
      </c>
      <c r="U37" s="19" t="s">
        <v>67</v>
      </c>
    </row>
    <row r="38" customFormat="false" ht="96" hidden="false" customHeight="true" outlineLevel="0" collapsed="false">
      <c r="A38" s="16" t="n">
        <v>34</v>
      </c>
      <c r="B38" s="16" t="s">
        <v>442</v>
      </c>
      <c r="C38" s="17" t="s">
        <v>443</v>
      </c>
      <c r="D38" s="17" t="s">
        <v>444</v>
      </c>
      <c r="E38" s="16" t="n">
        <v>2024</v>
      </c>
      <c r="F38" s="17" t="s">
        <v>445</v>
      </c>
      <c r="G38" s="16" t="s">
        <v>446</v>
      </c>
      <c r="H38" s="18" t="s">
        <v>23</v>
      </c>
      <c r="I38" s="17" t="s">
        <v>23</v>
      </c>
      <c r="J38" s="17" t="s">
        <v>447</v>
      </c>
      <c r="K38" s="17" t="s">
        <v>448</v>
      </c>
      <c r="L38" s="17" t="s">
        <v>449</v>
      </c>
      <c r="M38" s="17" t="s">
        <v>450</v>
      </c>
      <c r="N38" s="17" t="s">
        <v>451</v>
      </c>
      <c r="O38" s="17" t="s">
        <v>76</v>
      </c>
      <c r="P38" s="17" t="s">
        <v>452</v>
      </c>
      <c r="Q38" s="17" t="s">
        <v>453</v>
      </c>
      <c r="R38" s="16" t="s">
        <v>65</v>
      </c>
      <c r="S38" s="16"/>
      <c r="T38" s="19" t="s">
        <v>454</v>
      </c>
      <c r="U38" s="19" t="s">
        <v>67</v>
      </c>
    </row>
    <row r="39" customFormat="false" ht="96" hidden="false" customHeight="true" outlineLevel="0" collapsed="false">
      <c r="A39" s="16" t="n">
        <v>35</v>
      </c>
      <c r="B39" s="16" t="s">
        <v>455</v>
      </c>
      <c r="C39" s="17" t="s">
        <v>456</v>
      </c>
      <c r="D39" s="17" t="s">
        <v>457</v>
      </c>
      <c r="E39" s="16" t="n">
        <v>2024</v>
      </c>
      <c r="F39" s="17" t="s">
        <v>237</v>
      </c>
      <c r="G39" s="16" t="s">
        <v>199</v>
      </c>
      <c r="H39" s="23" t="s">
        <v>21</v>
      </c>
      <c r="I39" s="17" t="s">
        <v>328</v>
      </c>
      <c r="J39" s="17" t="s">
        <v>458</v>
      </c>
      <c r="K39" s="17" t="s">
        <v>459</v>
      </c>
      <c r="L39" s="17" t="s">
        <v>460</v>
      </c>
      <c r="M39" s="17" t="s">
        <v>461</v>
      </c>
      <c r="N39" s="17" t="s">
        <v>462</v>
      </c>
      <c r="O39" s="17" t="s">
        <v>463</v>
      </c>
      <c r="P39" s="17" t="s">
        <v>464</v>
      </c>
      <c r="Q39" s="17" t="s">
        <v>465</v>
      </c>
      <c r="R39" s="16" t="s">
        <v>103</v>
      </c>
      <c r="S39" s="19" t="s">
        <v>466</v>
      </c>
      <c r="T39" s="19" t="s">
        <v>467</v>
      </c>
      <c r="U39" s="19" t="s">
        <v>67</v>
      </c>
    </row>
    <row r="40" customFormat="false" ht="96" hidden="false" customHeight="true" outlineLevel="0" collapsed="false">
      <c r="A40" s="16" t="n">
        <v>36</v>
      </c>
      <c r="B40" s="16" t="s">
        <v>468</v>
      </c>
      <c r="C40" s="17" t="s">
        <v>469</v>
      </c>
      <c r="D40" s="17" t="s">
        <v>470</v>
      </c>
      <c r="E40" s="16" t="n">
        <v>2024</v>
      </c>
      <c r="F40" s="17" t="s">
        <v>83</v>
      </c>
      <c r="G40" s="16" t="s">
        <v>84</v>
      </c>
      <c r="H40" s="22" t="s">
        <v>9</v>
      </c>
      <c r="I40" s="17" t="s">
        <v>223</v>
      </c>
      <c r="J40" s="17" t="s">
        <v>97</v>
      </c>
      <c r="K40" s="17" t="s">
        <v>471</v>
      </c>
      <c r="L40" s="17" t="s">
        <v>472</v>
      </c>
      <c r="M40" s="17" t="s">
        <v>473</v>
      </c>
      <c r="N40" s="17" t="s">
        <v>474</v>
      </c>
      <c r="O40" s="17" t="s">
        <v>475</v>
      </c>
      <c r="P40" s="17" t="s">
        <v>476</v>
      </c>
      <c r="Q40" s="17" t="s">
        <v>477</v>
      </c>
      <c r="R40" s="16" t="s">
        <v>103</v>
      </c>
      <c r="S40" s="19" t="s">
        <v>478</v>
      </c>
      <c r="T40" s="19" t="s">
        <v>479</v>
      </c>
      <c r="U40" s="19" t="s">
        <v>67</v>
      </c>
    </row>
    <row r="41" customFormat="false" ht="96" hidden="false" customHeight="true" outlineLevel="0" collapsed="false">
      <c r="A41" s="16" t="n">
        <v>37</v>
      </c>
      <c r="B41" s="16" t="s">
        <v>480</v>
      </c>
      <c r="C41" s="17" t="s">
        <v>481</v>
      </c>
      <c r="D41" s="17" t="s">
        <v>482</v>
      </c>
      <c r="E41" s="16" t="n">
        <v>2024</v>
      </c>
      <c r="F41" s="17" t="s">
        <v>483</v>
      </c>
      <c r="G41" s="16" t="s">
        <v>84</v>
      </c>
      <c r="H41" s="22" t="s">
        <v>9</v>
      </c>
      <c r="I41" s="17" t="s">
        <v>223</v>
      </c>
      <c r="J41" s="17" t="s">
        <v>484</v>
      </c>
      <c r="K41" s="17" t="s">
        <v>485</v>
      </c>
      <c r="L41" s="17" t="s">
        <v>486</v>
      </c>
      <c r="M41" s="17" t="s">
        <v>487</v>
      </c>
      <c r="N41" s="17" t="s">
        <v>488</v>
      </c>
      <c r="O41" s="17" t="s">
        <v>489</v>
      </c>
      <c r="P41" s="17" t="s">
        <v>490</v>
      </c>
      <c r="Q41" s="17" t="s">
        <v>491</v>
      </c>
      <c r="R41" s="16" t="s">
        <v>103</v>
      </c>
      <c r="S41" s="19" t="s">
        <v>492</v>
      </c>
      <c r="T41" s="19" t="s">
        <v>493</v>
      </c>
      <c r="U41" s="19" t="s">
        <v>67</v>
      </c>
    </row>
    <row r="42" customFormat="false" ht="96" hidden="false" customHeight="true" outlineLevel="0" collapsed="false">
      <c r="A42" s="16" t="n">
        <v>38</v>
      </c>
      <c r="B42" s="16" t="s">
        <v>494</v>
      </c>
      <c r="C42" s="17" t="s">
        <v>495</v>
      </c>
      <c r="D42" s="17" t="s">
        <v>496</v>
      </c>
      <c r="E42" s="16" t="n">
        <v>2024</v>
      </c>
      <c r="F42" s="17" t="s">
        <v>209</v>
      </c>
      <c r="G42" s="16" t="s">
        <v>199</v>
      </c>
      <c r="H42" s="23" t="s">
        <v>21</v>
      </c>
      <c r="I42" s="17" t="s">
        <v>328</v>
      </c>
      <c r="J42" s="17" t="s">
        <v>224</v>
      </c>
      <c r="K42" s="17" t="s">
        <v>497</v>
      </c>
      <c r="L42" s="17" t="s">
        <v>498</v>
      </c>
      <c r="M42" s="17" t="s">
        <v>499</v>
      </c>
      <c r="N42" s="17" t="s">
        <v>500</v>
      </c>
      <c r="O42" s="17" t="s">
        <v>501</v>
      </c>
      <c r="P42" s="17" t="s">
        <v>502</v>
      </c>
      <c r="Q42" s="17" t="s">
        <v>503</v>
      </c>
      <c r="R42" s="16" t="s">
        <v>103</v>
      </c>
      <c r="S42" s="19" t="s">
        <v>504</v>
      </c>
      <c r="T42" s="19" t="s">
        <v>505</v>
      </c>
      <c r="U42" s="19" t="s">
        <v>67</v>
      </c>
    </row>
    <row r="43" customFormat="false" ht="96" hidden="false" customHeight="true" outlineLevel="0" collapsed="false">
      <c r="A43" s="16" t="n">
        <v>39</v>
      </c>
      <c r="B43" s="16" t="s">
        <v>506</v>
      </c>
      <c r="C43" s="17" t="s">
        <v>507</v>
      </c>
      <c r="D43" s="17" t="s">
        <v>508</v>
      </c>
      <c r="E43" s="16" t="n">
        <v>2024</v>
      </c>
      <c r="F43" s="17" t="s">
        <v>71</v>
      </c>
      <c r="G43" s="16" t="s">
        <v>56</v>
      </c>
      <c r="H43" s="23" t="s">
        <v>21</v>
      </c>
      <c r="I43" s="17" t="s">
        <v>328</v>
      </c>
      <c r="J43" s="17" t="s">
        <v>509</v>
      </c>
      <c r="K43" s="17" t="s">
        <v>510</v>
      </c>
      <c r="L43" s="17" t="s">
        <v>511</v>
      </c>
      <c r="M43" s="17" t="s">
        <v>512</v>
      </c>
      <c r="N43" s="17" t="s">
        <v>513</v>
      </c>
      <c r="O43" s="17" t="s">
        <v>76</v>
      </c>
      <c r="P43" s="17" t="s">
        <v>514</v>
      </c>
      <c r="Q43" s="17" t="s">
        <v>515</v>
      </c>
      <c r="R43" s="16" t="s">
        <v>65</v>
      </c>
      <c r="S43" s="16"/>
      <c r="T43" s="19" t="s">
        <v>516</v>
      </c>
      <c r="U43" s="19" t="s">
        <v>67</v>
      </c>
    </row>
    <row r="44" customFormat="false" ht="96" hidden="false" customHeight="true" outlineLevel="0" collapsed="false">
      <c r="A44" s="16" t="n">
        <v>40</v>
      </c>
      <c r="B44" s="16" t="s">
        <v>517</v>
      </c>
      <c r="C44" s="17" t="s">
        <v>518</v>
      </c>
      <c r="D44" s="17" t="s">
        <v>519</v>
      </c>
      <c r="E44" s="16" t="n">
        <v>2024</v>
      </c>
      <c r="F44" s="17" t="s">
        <v>71</v>
      </c>
      <c r="G44" s="16" t="s">
        <v>56</v>
      </c>
      <c r="H44" s="22" t="s">
        <v>9</v>
      </c>
      <c r="I44" s="17" t="s">
        <v>223</v>
      </c>
      <c r="J44" s="17" t="s">
        <v>224</v>
      </c>
      <c r="K44" s="17" t="s">
        <v>520</v>
      </c>
      <c r="L44" s="17" t="s">
        <v>521</v>
      </c>
      <c r="M44" s="17" t="s">
        <v>522</v>
      </c>
      <c r="N44" s="17" t="s">
        <v>523</v>
      </c>
      <c r="O44" s="17" t="s">
        <v>524</v>
      </c>
      <c r="P44" s="17" t="s">
        <v>525</v>
      </c>
      <c r="Q44" s="17" t="s">
        <v>526</v>
      </c>
      <c r="R44" s="16" t="s">
        <v>65</v>
      </c>
      <c r="S44" s="16"/>
      <c r="T44" s="19" t="s">
        <v>527</v>
      </c>
      <c r="U44" s="19" t="s">
        <v>67</v>
      </c>
    </row>
    <row r="45" customFormat="false" ht="96" hidden="false" customHeight="true" outlineLevel="0" collapsed="false">
      <c r="A45" s="16" t="n">
        <v>41</v>
      </c>
      <c r="B45" s="16" t="s">
        <v>528</v>
      </c>
      <c r="C45" s="17" t="s">
        <v>529</v>
      </c>
      <c r="D45" s="17" t="s">
        <v>530</v>
      </c>
      <c r="E45" s="16" t="n">
        <v>2024</v>
      </c>
      <c r="F45" s="17" t="s">
        <v>198</v>
      </c>
      <c r="G45" s="16" t="s">
        <v>199</v>
      </c>
      <c r="H45" s="22" t="s">
        <v>9</v>
      </c>
      <c r="I45" s="17" t="s">
        <v>223</v>
      </c>
      <c r="J45" s="17" t="s">
        <v>279</v>
      </c>
      <c r="K45" s="17" t="s">
        <v>531</v>
      </c>
      <c r="L45" s="17" t="s">
        <v>532</v>
      </c>
      <c r="M45" s="17" t="s">
        <v>533</v>
      </c>
      <c r="N45" s="17" t="s">
        <v>534</v>
      </c>
      <c r="O45" s="17" t="s">
        <v>535</v>
      </c>
      <c r="P45" s="17" t="s">
        <v>536</v>
      </c>
      <c r="Q45" s="17" t="s">
        <v>537</v>
      </c>
      <c r="R45" s="16" t="s">
        <v>103</v>
      </c>
      <c r="S45" s="19" t="s">
        <v>538</v>
      </c>
      <c r="T45" s="19" t="s">
        <v>539</v>
      </c>
      <c r="U45" s="19" t="s">
        <v>67</v>
      </c>
    </row>
    <row r="46" customFormat="false" ht="96" hidden="false" customHeight="true" outlineLevel="0" collapsed="false">
      <c r="A46" s="16" t="n">
        <v>42</v>
      </c>
      <c r="B46" s="16" t="s">
        <v>540</v>
      </c>
      <c r="C46" s="17" t="s">
        <v>541</v>
      </c>
      <c r="D46" s="17" t="s">
        <v>542</v>
      </c>
      <c r="E46" s="16" t="n">
        <v>2024</v>
      </c>
      <c r="F46" s="17" t="s">
        <v>543</v>
      </c>
      <c r="G46" s="16" t="s">
        <v>199</v>
      </c>
      <c r="H46" s="21" t="s">
        <v>13</v>
      </c>
      <c r="I46" s="17" t="s">
        <v>125</v>
      </c>
      <c r="J46" s="17" t="s">
        <v>544</v>
      </c>
      <c r="K46" s="17" t="s">
        <v>545</v>
      </c>
      <c r="L46" s="17" t="s">
        <v>546</v>
      </c>
      <c r="M46" s="17" t="s">
        <v>547</v>
      </c>
      <c r="N46" s="17" t="s">
        <v>548</v>
      </c>
      <c r="O46" s="17" t="s">
        <v>549</v>
      </c>
      <c r="P46" s="17" t="s">
        <v>550</v>
      </c>
      <c r="Q46" s="17" t="s">
        <v>551</v>
      </c>
      <c r="R46" s="16" t="s">
        <v>103</v>
      </c>
      <c r="S46" s="19" t="s">
        <v>552</v>
      </c>
      <c r="T46" s="19" t="s">
        <v>553</v>
      </c>
      <c r="U46" s="19" t="s">
        <v>67</v>
      </c>
    </row>
    <row r="47" customFormat="false" ht="96" hidden="false" customHeight="true" outlineLevel="0" collapsed="false">
      <c r="A47" s="16" t="n">
        <v>43</v>
      </c>
      <c r="B47" s="16" t="s">
        <v>554</v>
      </c>
      <c r="C47" s="17" t="s">
        <v>555</v>
      </c>
      <c r="D47" s="17" t="s">
        <v>556</v>
      </c>
      <c r="E47" s="16" t="n">
        <v>2024</v>
      </c>
      <c r="F47" s="17" t="s">
        <v>557</v>
      </c>
      <c r="G47" s="16" t="s">
        <v>446</v>
      </c>
      <c r="H47" s="21" t="s">
        <v>13</v>
      </c>
      <c r="I47" s="17" t="s">
        <v>125</v>
      </c>
      <c r="J47" s="17" t="s">
        <v>558</v>
      </c>
      <c r="K47" s="17" t="s">
        <v>559</v>
      </c>
      <c r="L47" s="17" t="s">
        <v>560</v>
      </c>
      <c r="M47" s="17" t="s">
        <v>561</v>
      </c>
      <c r="N47" s="17" t="s">
        <v>562</v>
      </c>
      <c r="O47" s="17" t="s">
        <v>563</v>
      </c>
      <c r="P47" s="17" t="s">
        <v>564</v>
      </c>
      <c r="Q47" s="17" t="s">
        <v>565</v>
      </c>
      <c r="R47" s="16" t="s">
        <v>65</v>
      </c>
      <c r="S47" s="16"/>
      <c r="T47" s="19" t="s">
        <v>566</v>
      </c>
      <c r="U47" s="19" t="s">
        <v>67</v>
      </c>
    </row>
    <row r="48" customFormat="false" ht="96" hidden="false" customHeight="true" outlineLevel="0" collapsed="false">
      <c r="A48" s="16" t="n">
        <v>44</v>
      </c>
      <c r="B48" s="16" t="s">
        <v>567</v>
      </c>
      <c r="C48" s="17" t="s">
        <v>568</v>
      </c>
      <c r="D48" s="17" t="s">
        <v>569</v>
      </c>
      <c r="E48" s="16" t="n">
        <v>2024</v>
      </c>
      <c r="F48" s="17" t="s">
        <v>350</v>
      </c>
      <c r="G48" s="16" t="s">
        <v>199</v>
      </c>
      <c r="H48" s="21" t="s">
        <v>11</v>
      </c>
      <c r="I48" s="17" t="s">
        <v>125</v>
      </c>
      <c r="J48" s="17" t="s">
        <v>279</v>
      </c>
      <c r="K48" s="17" t="s">
        <v>570</v>
      </c>
      <c r="L48" s="17" t="s">
        <v>571</v>
      </c>
      <c r="M48" s="17" t="s">
        <v>572</v>
      </c>
      <c r="N48" s="17" t="s">
        <v>573</v>
      </c>
      <c r="O48" s="17" t="s">
        <v>574</v>
      </c>
      <c r="P48" s="17" t="s">
        <v>575</v>
      </c>
      <c r="Q48" s="17" t="s">
        <v>576</v>
      </c>
      <c r="R48" s="16" t="s">
        <v>65</v>
      </c>
      <c r="S48" s="16"/>
      <c r="T48" s="19" t="s">
        <v>577</v>
      </c>
      <c r="U48" s="19" t="s">
        <v>67</v>
      </c>
    </row>
    <row r="49" customFormat="false" ht="96" hidden="false" customHeight="true" outlineLevel="0" collapsed="false">
      <c r="A49" s="16" t="n">
        <v>45</v>
      </c>
      <c r="B49" s="16" t="s">
        <v>578</v>
      </c>
      <c r="C49" s="17" t="s">
        <v>579</v>
      </c>
      <c r="D49" s="17" t="s">
        <v>580</v>
      </c>
      <c r="E49" s="16" t="n">
        <v>2024</v>
      </c>
      <c r="F49" s="17" t="s">
        <v>209</v>
      </c>
      <c r="G49" s="16" t="s">
        <v>199</v>
      </c>
      <c r="H49" s="21" t="s">
        <v>13</v>
      </c>
      <c r="I49" s="17" t="s">
        <v>125</v>
      </c>
      <c r="J49" s="17" t="s">
        <v>544</v>
      </c>
      <c r="K49" s="17" t="s">
        <v>581</v>
      </c>
      <c r="L49" s="17" t="s">
        <v>582</v>
      </c>
      <c r="M49" s="17" t="s">
        <v>583</v>
      </c>
      <c r="N49" s="17" t="s">
        <v>584</v>
      </c>
      <c r="O49" s="17" t="s">
        <v>585</v>
      </c>
      <c r="P49" s="17" t="s">
        <v>586</v>
      </c>
      <c r="Q49" s="17" t="s">
        <v>587</v>
      </c>
      <c r="R49" s="16" t="s">
        <v>65</v>
      </c>
      <c r="S49" s="16"/>
      <c r="T49" s="19" t="s">
        <v>588</v>
      </c>
      <c r="U49" s="19" t="s">
        <v>67</v>
      </c>
    </row>
    <row r="50" customFormat="false" ht="96" hidden="false" customHeight="true" outlineLevel="0" collapsed="false">
      <c r="A50" s="16" t="n">
        <v>46</v>
      </c>
      <c r="B50" s="16" t="s">
        <v>589</v>
      </c>
      <c r="C50" s="17" t="s">
        <v>590</v>
      </c>
      <c r="D50" s="17" t="s">
        <v>591</v>
      </c>
      <c r="E50" s="16" t="n">
        <v>2024</v>
      </c>
      <c r="F50" s="17" t="s">
        <v>209</v>
      </c>
      <c r="G50" s="16" t="s">
        <v>199</v>
      </c>
      <c r="H50" s="24" t="s">
        <v>15</v>
      </c>
      <c r="I50" s="17" t="s">
        <v>592</v>
      </c>
      <c r="J50" s="17" t="s">
        <v>593</v>
      </c>
      <c r="K50" s="17" t="s">
        <v>594</v>
      </c>
      <c r="L50" s="17" t="s">
        <v>595</v>
      </c>
      <c r="M50" s="17" t="s">
        <v>596</v>
      </c>
      <c r="N50" s="17" t="s">
        <v>597</v>
      </c>
      <c r="O50" s="17" t="s">
        <v>334</v>
      </c>
      <c r="P50" s="17" t="s">
        <v>598</v>
      </c>
      <c r="Q50" s="17" t="s">
        <v>599</v>
      </c>
      <c r="R50" s="16" t="s">
        <v>103</v>
      </c>
      <c r="S50" s="19" t="s">
        <v>600</v>
      </c>
      <c r="T50" s="19" t="s">
        <v>601</v>
      </c>
      <c r="U50" s="19" t="s">
        <v>67</v>
      </c>
    </row>
    <row r="51" customFormat="false" ht="96" hidden="false" customHeight="true" outlineLevel="0" collapsed="false">
      <c r="A51" s="16" t="n">
        <v>47</v>
      </c>
      <c r="B51" s="16" t="s">
        <v>602</v>
      </c>
      <c r="C51" s="17" t="s">
        <v>603</v>
      </c>
      <c r="D51" s="17" t="s">
        <v>604</v>
      </c>
      <c r="E51" s="16" t="n">
        <v>2024</v>
      </c>
      <c r="F51" s="17" t="s">
        <v>605</v>
      </c>
      <c r="G51" s="16" t="s">
        <v>148</v>
      </c>
      <c r="H51" s="23" t="s">
        <v>21</v>
      </c>
      <c r="I51" s="17" t="s">
        <v>328</v>
      </c>
      <c r="J51" s="17" t="s">
        <v>606</v>
      </c>
      <c r="K51" s="17" t="s">
        <v>607</v>
      </c>
      <c r="L51" s="17" t="s">
        <v>608</v>
      </c>
      <c r="M51" s="17" t="s">
        <v>609</v>
      </c>
      <c r="N51" s="17" t="s">
        <v>610</v>
      </c>
      <c r="O51" s="17" t="s">
        <v>611</v>
      </c>
      <c r="P51" s="17" t="s">
        <v>612</v>
      </c>
      <c r="Q51" s="17" t="s">
        <v>613</v>
      </c>
      <c r="R51" s="16" t="s">
        <v>103</v>
      </c>
      <c r="S51" s="19" t="s">
        <v>614</v>
      </c>
      <c r="T51" s="19" t="s">
        <v>615</v>
      </c>
      <c r="U51" s="19" t="s">
        <v>67</v>
      </c>
    </row>
    <row r="52" customFormat="false" ht="96" hidden="false" customHeight="true" outlineLevel="0" collapsed="false">
      <c r="A52" s="16" t="n">
        <v>48</v>
      </c>
      <c r="B52" s="16" t="s">
        <v>616</v>
      </c>
      <c r="C52" s="17" t="s">
        <v>617</v>
      </c>
      <c r="D52" s="17" t="s">
        <v>618</v>
      </c>
      <c r="E52" s="16" t="n">
        <v>2024</v>
      </c>
      <c r="F52" s="17" t="s">
        <v>209</v>
      </c>
      <c r="G52" s="16" t="s">
        <v>199</v>
      </c>
      <c r="H52" s="21" t="s">
        <v>13</v>
      </c>
      <c r="I52" s="17" t="s">
        <v>125</v>
      </c>
      <c r="J52" s="17" t="s">
        <v>544</v>
      </c>
      <c r="K52" s="17" t="s">
        <v>619</v>
      </c>
      <c r="L52" s="17" t="s">
        <v>620</v>
      </c>
      <c r="M52" s="17" t="s">
        <v>621</v>
      </c>
      <c r="N52" s="17" t="s">
        <v>622</v>
      </c>
      <c r="O52" s="17" t="s">
        <v>549</v>
      </c>
      <c r="P52" s="17" t="s">
        <v>623</v>
      </c>
      <c r="Q52" s="17" t="s">
        <v>624</v>
      </c>
      <c r="R52" s="16" t="s">
        <v>103</v>
      </c>
      <c r="S52" s="19" t="s">
        <v>625</v>
      </c>
      <c r="T52" s="19" t="s">
        <v>626</v>
      </c>
      <c r="U52" s="19" t="s">
        <v>67</v>
      </c>
    </row>
    <row r="53" customFormat="false" ht="96" hidden="false" customHeight="true" outlineLevel="0" collapsed="false">
      <c r="A53" s="16" t="n">
        <v>49</v>
      </c>
      <c r="B53" s="16" t="s">
        <v>627</v>
      </c>
      <c r="C53" s="17" t="s">
        <v>628</v>
      </c>
      <c r="D53" s="17" t="s">
        <v>629</v>
      </c>
      <c r="E53" s="16" t="n">
        <v>2024</v>
      </c>
      <c r="F53" s="17" t="s">
        <v>630</v>
      </c>
      <c r="G53" s="16" t="s">
        <v>446</v>
      </c>
      <c r="H53" s="18" t="s">
        <v>23</v>
      </c>
      <c r="I53" s="17" t="s">
        <v>23</v>
      </c>
      <c r="J53" s="17" t="s">
        <v>631</v>
      </c>
      <c r="K53" s="17" t="s">
        <v>632</v>
      </c>
      <c r="L53" s="17" t="s">
        <v>633</v>
      </c>
      <c r="M53" s="17" t="s">
        <v>634</v>
      </c>
      <c r="N53" s="17" t="s">
        <v>635</v>
      </c>
      <c r="O53" s="17" t="s">
        <v>76</v>
      </c>
      <c r="P53" s="17" t="s">
        <v>636</v>
      </c>
      <c r="Q53" s="17" t="s">
        <v>637</v>
      </c>
      <c r="R53" s="16" t="s">
        <v>65</v>
      </c>
      <c r="S53" s="16"/>
      <c r="T53" s="19" t="s">
        <v>638</v>
      </c>
      <c r="U53" s="19" t="s">
        <v>67</v>
      </c>
    </row>
    <row r="54" customFormat="false" ht="96" hidden="false" customHeight="true" outlineLevel="0" collapsed="false">
      <c r="A54" s="16" t="n">
        <v>50</v>
      </c>
      <c r="B54" s="16" t="s">
        <v>639</v>
      </c>
      <c r="C54" s="17" t="s">
        <v>640</v>
      </c>
      <c r="D54" s="17" t="s">
        <v>641</v>
      </c>
      <c r="E54" s="16" t="n">
        <v>2024</v>
      </c>
      <c r="F54" s="17" t="s">
        <v>83</v>
      </c>
      <c r="G54" s="16" t="s">
        <v>84</v>
      </c>
      <c r="H54" s="18" t="s">
        <v>23</v>
      </c>
      <c r="I54" s="17" t="s">
        <v>23</v>
      </c>
      <c r="J54" s="17" t="s">
        <v>642</v>
      </c>
      <c r="K54" s="17" t="s">
        <v>643</v>
      </c>
      <c r="L54" s="17" t="s">
        <v>644</v>
      </c>
      <c r="M54" s="17" t="s">
        <v>645</v>
      </c>
      <c r="N54" s="17" t="s">
        <v>646</v>
      </c>
      <c r="O54" s="17" t="s">
        <v>76</v>
      </c>
      <c r="P54" s="17" t="s">
        <v>647</v>
      </c>
      <c r="Q54" s="17" t="s">
        <v>648</v>
      </c>
      <c r="R54" s="16" t="s">
        <v>65</v>
      </c>
      <c r="S54" s="16"/>
      <c r="T54" s="19" t="s">
        <v>649</v>
      </c>
      <c r="U54" s="19" t="s">
        <v>67</v>
      </c>
    </row>
    <row r="55" customFormat="false" ht="96" hidden="false" customHeight="true" outlineLevel="0" collapsed="false">
      <c r="A55" s="16" t="n">
        <v>51</v>
      </c>
      <c r="B55" s="16" t="s">
        <v>650</v>
      </c>
      <c r="C55" s="17" t="s">
        <v>651</v>
      </c>
      <c r="D55" s="17" t="s">
        <v>652</v>
      </c>
      <c r="E55" s="16" t="n">
        <v>2023</v>
      </c>
      <c r="F55" s="17" t="s">
        <v>138</v>
      </c>
      <c r="G55" s="16" t="s">
        <v>84</v>
      </c>
      <c r="H55" s="20" t="s">
        <v>25</v>
      </c>
      <c r="I55" s="17" t="s">
        <v>72</v>
      </c>
      <c r="J55" s="17" t="s">
        <v>73</v>
      </c>
      <c r="K55" s="17" t="s">
        <v>73</v>
      </c>
      <c r="L55" s="17" t="s">
        <v>653</v>
      </c>
      <c r="M55" s="17" t="s">
        <v>654</v>
      </c>
      <c r="N55" s="17" t="s">
        <v>76</v>
      </c>
      <c r="O55" s="17" t="s">
        <v>76</v>
      </c>
      <c r="P55" s="17" t="s">
        <v>655</v>
      </c>
      <c r="Q55" s="17" t="s">
        <v>656</v>
      </c>
      <c r="R55" s="16" t="s">
        <v>65</v>
      </c>
      <c r="S55" s="16"/>
      <c r="T55" s="19" t="s">
        <v>657</v>
      </c>
      <c r="U55" s="19" t="s">
        <v>67</v>
      </c>
    </row>
    <row r="56" customFormat="false" ht="96" hidden="false" customHeight="true" outlineLevel="0" collapsed="false">
      <c r="A56" s="16" t="n">
        <v>52</v>
      </c>
      <c r="B56" s="16" t="s">
        <v>658</v>
      </c>
      <c r="C56" s="17" t="s">
        <v>659</v>
      </c>
      <c r="D56" s="17" t="s">
        <v>660</v>
      </c>
      <c r="E56" s="16" t="n">
        <v>2023</v>
      </c>
      <c r="F56" s="17" t="s">
        <v>661</v>
      </c>
      <c r="G56" s="16" t="s">
        <v>199</v>
      </c>
      <c r="H56" s="23" t="s">
        <v>21</v>
      </c>
      <c r="I56" s="17" t="s">
        <v>328</v>
      </c>
      <c r="J56" s="17" t="s">
        <v>662</v>
      </c>
      <c r="K56" s="17" t="s">
        <v>663</v>
      </c>
      <c r="L56" s="17" t="s">
        <v>664</v>
      </c>
      <c r="M56" s="17" t="s">
        <v>665</v>
      </c>
      <c r="N56" s="17" t="s">
        <v>666</v>
      </c>
      <c r="O56" s="17" t="s">
        <v>667</v>
      </c>
      <c r="P56" s="17" t="s">
        <v>668</v>
      </c>
      <c r="Q56" s="17" t="s">
        <v>669</v>
      </c>
      <c r="R56" s="16" t="s">
        <v>103</v>
      </c>
      <c r="S56" s="19" t="s">
        <v>670</v>
      </c>
      <c r="T56" s="19" t="s">
        <v>671</v>
      </c>
      <c r="U56" s="19" t="s">
        <v>67</v>
      </c>
    </row>
    <row r="57" customFormat="false" ht="96" hidden="false" customHeight="true" outlineLevel="0" collapsed="false">
      <c r="A57" s="16" t="n">
        <v>53</v>
      </c>
      <c r="B57" s="16" t="s">
        <v>672</v>
      </c>
      <c r="C57" s="17" t="s">
        <v>673</v>
      </c>
      <c r="D57" s="17" t="s">
        <v>674</v>
      </c>
      <c r="E57" s="16" t="n">
        <v>2023</v>
      </c>
      <c r="F57" s="17" t="s">
        <v>675</v>
      </c>
      <c r="G57" s="16" t="s">
        <v>148</v>
      </c>
      <c r="H57" s="21" t="s">
        <v>13</v>
      </c>
      <c r="I57" s="17" t="s">
        <v>125</v>
      </c>
      <c r="J57" s="17" t="s">
        <v>676</v>
      </c>
      <c r="K57" s="17" t="s">
        <v>677</v>
      </c>
      <c r="L57" s="17" t="s">
        <v>678</v>
      </c>
      <c r="M57" s="17" t="s">
        <v>679</v>
      </c>
      <c r="N57" s="17" t="s">
        <v>680</v>
      </c>
      <c r="O57" s="17" t="s">
        <v>681</v>
      </c>
      <c r="P57" s="17" t="s">
        <v>682</v>
      </c>
      <c r="Q57" s="17" t="s">
        <v>683</v>
      </c>
      <c r="R57" s="16" t="s">
        <v>103</v>
      </c>
      <c r="S57" s="19" t="s">
        <v>684</v>
      </c>
      <c r="T57" s="19" t="s">
        <v>685</v>
      </c>
      <c r="U57" s="19" t="s">
        <v>67</v>
      </c>
    </row>
    <row r="58" customFormat="false" ht="96" hidden="false" customHeight="true" outlineLevel="0" collapsed="false">
      <c r="A58" s="16" t="n">
        <v>54</v>
      </c>
      <c r="B58" s="16" t="s">
        <v>686</v>
      </c>
      <c r="C58" s="17" t="s">
        <v>687</v>
      </c>
      <c r="D58" s="17" t="s">
        <v>688</v>
      </c>
      <c r="E58" s="16" t="n">
        <v>2023</v>
      </c>
      <c r="F58" s="17" t="s">
        <v>661</v>
      </c>
      <c r="G58" s="16" t="s">
        <v>199</v>
      </c>
      <c r="H58" s="21" t="s">
        <v>13</v>
      </c>
      <c r="I58" s="17" t="s">
        <v>125</v>
      </c>
      <c r="J58" s="17" t="s">
        <v>544</v>
      </c>
      <c r="K58" s="17" t="s">
        <v>689</v>
      </c>
      <c r="L58" s="17" t="s">
        <v>690</v>
      </c>
      <c r="M58" s="17" t="s">
        <v>691</v>
      </c>
      <c r="N58" s="17" t="s">
        <v>692</v>
      </c>
      <c r="O58" s="17" t="s">
        <v>693</v>
      </c>
      <c r="P58" s="17" t="s">
        <v>694</v>
      </c>
      <c r="Q58" s="17" t="s">
        <v>695</v>
      </c>
      <c r="R58" s="16" t="s">
        <v>103</v>
      </c>
      <c r="S58" s="19" t="s">
        <v>696</v>
      </c>
      <c r="T58" s="19" t="s">
        <v>697</v>
      </c>
      <c r="U58" s="19" t="s">
        <v>67</v>
      </c>
    </row>
    <row r="59" customFormat="false" ht="96" hidden="false" customHeight="true" outlineLevel="0" collapsed="false">
      <c r="A59" s="16" t="n">
        <v>55</v>
      </c>
      <c r="B59" s="16" t="s">
        <v>698</v>
      </c>
      <c r="C59" s="17" t="s">
        <v>699</v>
      </c>
      <c r="D59" s="17" t="s">
        <v>700</v>
      </c>
      <c r="E59" s="16" t="n">
        <v>2023</v>
      </c>
      <c r="F59" s="17" t="s">
        <v>209</v>
      </c>
      <c r="G59" s="16" t="s">
        <v>199</v>
      </c>
      <c r="H59" s="22" t="s">
        <v>9</v>
      </c>
      <c r="I59" s="17" t="s">
        <v>223</v>
      </c>
      <c r="J59" s="17" t="s">
        <v>279</v>
      </c>
      <c r="K59" s="17" t="s">
        <v>701</v>
      </c>
      <c r="L59" s="17" t="s">
        <v>702</v>
      </c>
      <c r="M59" s="17" t="s">
        <v>703</v>
      </c>
      <c r="N59" s="17" t="s">
        <v>704</v>
      </c>
      <c r="O59" s="17" t="s">
        <v>705</v>
      </c>
      <c r="P59" s="17" t="s">
        <v>706</v>
      </c>
      <c r="Q59" s="17" t="s">
        <v>707</v>
      </c>
      <c r="R59" s="16" t="s">
        <v>103</v>
      </c>
      <c r="S59" s="19" t="s">
        <v>708</v>
      </c>
      <c r="T59" s="19" t="s">
        <v>709</v>
      </c>
      <c r="U59" s="19" t="s">
        <v>67</v>
      </c>
    </row>
    <row r="60" customFormat="false" ht="96" hidden="false" customHeight="true" outlineLevel="0" collapsed="false">
      <c r="A60" s="16" t="n">
        <v>56</v>
      </c>
      <c r="B60" s="16" t="s">
        <v>710</v>
      </c>
      <c r="C60" s="17" t="s">
        <v>711</v>
      </c>
      <c r="D60" s="17" t="s">
        <v>712</v>
      </c>
      <c r="E60" s="16" t="n">
        <v>2023</v>
      </c>
      <c r="F60" s="17" t="s">
        <v>83</v>
      </c>
      <c r="G60" s="16" t="s">
        <v>84</v>
      </c>
      <c r="H60" s="24" t="s">
        <v>15</v>
      </c>
      <c r="I60" s="17" t="s">
        <v>592</v>
      </c>
      <c r="J60" s="17" t="s">
        <v>713</v>
      </c>
      <c r="K60" s="17" t="s">
        <v>73</v>
      </c>
      <c r="L60" s="17" t="s">
        <v>714</v>
      </c>
      <c r="M60" s="17" t="s">
        <v>715</v>
      </c>
      <c r="N60" s="17" t="s">
        <v>716</v>
      </c>
      <c r="O60" s="17" t="s">
        <v>76</v>
      </c>
      <c r="P60" s="17" t="s">
        <v>717</v>
      </c>
      <c r="Q60" s="17" t="s">
        <v>718</v>
      </c>
      <c r="R60" s="16" t="s">
        <v>65</v>
      </c>
      <c r="S60" s="16"/>
      <c r="T60" s="19" t="s">
        <v>719</v>
      </c>
      <c r="U60" s="19" t="s">
        <v>67</v>
      </c>
    </row>
    <row r="61" customFormat="false" ht="96" hidden="false" customHeight="true" outlineLevel="0" collapsed="false">
      <c r="A61" s="16" t="n">
        <v>57</v>
      </c>
      <c r="B61" s="16" t="s">
        <v>720</v>
      </c>
      <c r="C61" s="17" t="s">
        <v>721</v>
      </c>
      <c r="D61" s="17" t="s">
        <v>722</v>
      </c>
      <c r="E61" s="16" t="n">
        <v>2023</v>
      </c>
      <c r="F61" s="17" t="s">
        <v>209</v>
      </c>
      <c r="G61" s="16" t="s">
        <v>199</v>
      </c>
      <c r="H61" s="23" t="s">
        <v>21</v>
      </c>
      <c r="I61" s="17" t="s">
        <v>328</v>
      </c>
      <c r="J61" s="17" t="s">
        <v>723</v>
      </c>
      <c r="K61" s="17" t="s">
        <v>724</v>
      </c>
      <c r="L61" s="17" t="s">
        <v>725</v>
      </c>
      <c r="M61" s="17" t="s">
        <v>726</v>
      </c>
      <c r="N61" s="17" t="s">
        <v>727</v>
      </c>
      <c r="O61" s="17" t="s">
        <v>728</v>
      </c>
      <c r="P61" s="17" t="s">
        <v>729</v>
      </c>
      <c r="Q61" s="17" t="s">
        <v>730</v>
      </c>
      <c r="R61" s="16" t="s">
        <v>65</v>
      </c>
      <c r="S61" s="16"/>
      <c r="T61" s="19" t="s">
        <v>731</v>
      </c>
      <c r="U61" s="19" t="s">
        <v>67</v>
      </c>
    </row>
    <row r="62" customFormat="false" ht="96" hidden="false" customHeight="true" outlineLevel="0" collapsed="false">
      <c r="A62" s="16" t="n">
        <v>58</v>
      </c>
      <c r="B62" s="16" t="s">
        <v>732</v>
      </c>
      <c r="C62" s="17" t="s">
        <v>733</v>
      </c>
      <c r="D62" s="17" t="s">
        <v>734</v>
      </c>
      <c r="E62" s="16" t="n">
        <v>2023</v>
      </c>
      <c r="F62" s="17" t="s">
        <v>209</v>
      </c>
      <c r="G62" s="16" t="s">
        <v>199</v>
      </c>
      <c r="H62" s="21" t="s">
        <v>11</v>
      </c>
      <c r="I62" s="17" t="s">
        <v>125</v>
      </c>
      <c r="J62" s="17" t="s">
        <v>186</v>
      </c>
      <c r="K62" s="17" t="s">
        <v>735</v>
      </c>
      <c r="L62" s="17" t="s">
        <v>736</v>
      </c>
      <c r="M62" s="17" t="s">
        <v>737</v>
      </c>
      <c r="N62" s="17" t="s">
        <v>130</v>
      </c>
      <c r="O62" s="17" t="s">
        <v>738</v>
      </c>
      <c r="P62" s="17" t="s">
        <v>739</v>
      </c>
      <c r="Q62" s="17" t="s">
        <v>740</v>
      </c>
      <c r="R62" s="16" t="s">
        <v>103</v>
      </c>
      <c r="S62" s="19" t="s">
        <v>741</v>
      </c>
      <c r="T62" s="19" t="s">
        <v>742</v>
      </c>
      <c r="U62" s="19" t="s">
        <v>67</v>
      </c>
    </row>
    <row r="63" customFormat="false" ht="96" hidden="false" customHeight="true" outlineLevel="0" collapsed="false">
      <c r="A63" s="16" t="n">
        <v>59</v>
      </c>
      <c r="B63" s="16" t="s">
        <v>743</v>
      </c>
      <c r="C63" s="17" t="s">
        <v>744</v>
      </c>
      <c r="D63" s="17" t="s">
        <v>745</v>
      </c>
      <c r="E63" s="16" t="n">
        <v>2023</v>
      </c>
      <c r="F63" s="17" t="s">
        <v>209</v>
      </c>
      <c r="G63" s="16" t="s">
        <v>199</v>
      </c>
      <c r="H63" s="21" t="s">
        <v>13</v>
      </c>
      <c r="I63" s="17" t="s">
        <v>125</v>
      </c>
      <c r="J63" s="17" t="s">
        <v>746</v>
      </c>
      <c r="K63" s="17" t="s">
        <v>747</v>
      </c>
      <c r="L63" s="17" t="s">
        <v>748</v>
      </c>
      <c r="M63" s="17" t="s">
        <v>749</v>
      </c>
      <c r="N63" s="17" t="s">
        <v>750</v>
      </c>
      <c r="O63" s="17" t="s">
        <v>751</v>
      </c>
      <c r="P63" s="17" t="s">
        <v>752</v>
      </c>
      <c r="Q63" s="17" t="s">
        <v>753</v>
      </c>
      <c r="R63" s="16" t="s">
        <v>103</v>
      </c>
      <c r="S63" s="19" t="s">
        <v>754</v>
      </c>
      <c r="T63" s="19" t="s">
        <v>755</v>
      </c>
      <c r="U63" s="19" t="s">
        <v>67</v>
      </c>
    </row>
    <row r="64" customFormat="false" ht="96" hidden="false" customHeight="true" outlineLevel="0" collapsed="false">
      <c r="A64" s="16" t="n">
        <v>60</v>
      </c>
      <c r="B64" s="16" t="s">
        <v>756</v>
      </c>
      <c r="C64" s="17" t="s">
        <v>757</v>
      </c>
      <c r="D64" s="17" t="s">
        <v>758</v>
      </c>
      <c r="E64" s="16" t="n">
        <v>2023</v>
      </c>
      <c r="F64" s="17" t="s">
        <v>388</v>
      </c>
      <c r="G64" s="16" t="s">
        <v>148</v>
      </c>
      <c r="H64" s="23" t="s">
        <v>21</v>
      </c>
      <c r="I64" s="17" t="s">
        <v>328</v>
      </c>
      <c r="J64" s="17" t="s">
        <v>759</v>
      </c>
      <c r="K64" s="17" t="s">
        <v>760</v>
      </c>
      <c r="L64" s="17" t="s">
        <v>761</v>
      </c>
      <c r="M64" s="17" t="s">
        <v>762</v>
      </c>
      <c r="N64" s="17" t="s">
        <v>763</v>
      </c>
      <c r="O64" s="17" t="s">
        <v>764</v>
      </c>
      <c r="P64" s="17" t="s">
        <v>765</v>
      </c>
      <c r="Q64" s="17" t="s">
        <v>766</v>
      </c>
      <c r="R64" s="16" t="s">
        <v>103</v>
      </c>
      <c r="S64" s="19" t="s">
        <v>767</v>
      </c>
      <c r="T64" s="19" t="s">
        <v>768</v>
      </c>
      <c r="U64" s="19" t="s">
        <v>67</v>
      </c>
    </row>
    <row r="65" customFormat="false" ht="96" hidden="false" customHeight="true" outlineLevel="0" collapsed="false">
      <c r="A65" s="16" t="n">
        <v>61</v>
      </c>
      <c r="B65" s="16" t="s">
        <v>769</v>
      </c>
      <c r="C65" s="17" t="s">
        <v>770</v>
      </c>
      <c r="D65" s="17" t="s">
        <v>771</v>
      </c>
      <c r="E65" s="16" t="n">
        <v>2023</v>
      </c>
      <c r="F65" s="17" t="s">
        <v>772</v>
      </c>
      <c r="G65" s="16" t="s">
        <v>84</v>
      </c>
      <c r="H65" s="18" t="s">
        <v>23</v>
      </c>
      <c r="I65" s="17" t="s">
        <v>23</v>
      </c>
      <c r="J65" s="17" t="s">
        <v>773</v>
      </c>
      <c r="K65" s="17" t="s">
        <v>774</v>
      </c>
      <c r="L65" s="17" t="s">
        <v>775</v>
      </c>
      <c r="M65" s="17" t="s">
        <v>776</v>
      </c>
      <c r="N65" s="17" t="s">
        <v>777</v>
      </c>
      <c r="O65" s="17" t="s">
        <v>76</v>
      </c>
      <c r="P65" s="17" t="s">
        <v>778</v>
      </c>
      <c r="Q65" s="17" t="s">
        <v>779</v>
      </c>
      <c r="R65" s="16" t="s">
        <v>65</v>
      </c>
      <c r="S65" s="16"/>
      <c r="T65" s="19" t="s">
        <v>780</v>
      </c>
      <c r="U65" s="19" t="s">
        <v>67</v>
      </c>
    </row>
    <row r="66" customFormat="false" ht="96" hidden="false" customHeight="true" outlineLevel="0" collapsed="false">
      <c r="A66" s="16" t="n">
        <v>62</v>
      </c>
      <c r="B66" s="16" t="s">
        <v>781</v>
      </c>
      <c r="C66" s="17" t="s">
        <v>782</v>
      </c>
      <c r="D66" s="17" t="s">
        <v>783</v>
      </c>
      <c r="E66" s="16" t="n">
        <v>2023</v>
      </c>
      <c r="F66" s="17" t="s">
        <v>209</v>
      </c>
      <c r="G66" s="16" t="s">
        <v>199</v>
      </c>
      <c r="H66" s="23" t="s">
        <v>19</v>
      </c>
      <c r="I66" s="17" t="s">
        <v>328</v>
      </c>
      <c r="J66" s="17" t="s">
        <v>784</v>
      </c>
      <c r="K66" s="17" t="s">
        <v>785</v>
      </c>
      <c r="L66" s="17" t="s">
        <v>786</v>
      </c>
      <c r="M66" s="17" t="s">
        <v>787</v>
      </c>
      <c r="N66" s="17" t="s">
        <v>788</v>
      </c>
      <c r="O66" s="17" t="s">
        <v>334</v>
      </c>
      <c r="P66" s="17" t="s">
        <v>789</v>
      </c>
      <c r="Q66" s="17" t="s">
        <v>790</v>
      </c>
      <c r="R66" s="16" t="s">
        <v>103</v>
      </c>
      <c r="S66" s="19" t="s">
        <v>791</v>
      </c>
      <c r="T66" s="19" t="s">
        <v>792</v>
      </c>
      <c r="U66" s="19" t="s">
        <v>67</v>
      </c>
    </row>
    <row r="67" customFormat="false" ht="96" hidden="false" customHeight="true" outlineLevel="0" collapsed="false">
      <c r="A67" s="16" t="n">
        <v>63</v>
      </c>
      <c r="B67" s="16" t="s">
        <v>793</v>
      </c>
      <c r="C67" s="17" t="s">
        <v>794</v>
      </c>
      <c r="D67" s="17" t="s">
        <v>795</v>
      </c>
      <c r="E67" s="16" t="n">
        <v>2023</v>
      </c>
      <c r="F67" s="17" t="s">
        <v>796</v>
      </c>
      <c r="G67" s="16" t="s">
        <v>199</v>
      </c>
      <c r="H67" s="22" t="s">
        <v>9</v>
      </c>
      <c r="I67" s="17" t="s">
        <v>223</v>
      </c>
      <c r="J67" s="17" t="s">
        <v>797</v>
      </c>
      <c r="K67" s="17" t="s">
        <v>798</v>
      </c>
      <c r="L67" s="17" t="s">
        <v>799</v>
      </c>
      <c r="M67" s="17" t="s">
        <v>800</v>
      </c>
      <c r="N67" s="17" t="s">
        <v>801</v>
      </c>
      <c r="O67" s="17" t="s">
        <v>802</v>
      </c>
      <c r="P67" s="17" t="s">
        <v>803</v>
      </c>
      <c r="Q67" s="17" t="s">
        <v>804</v>
      </c>
      <c r="R67" s="16" t="s">
        <v>103</v>
      </c>
      <c r="S67" s="19" t="s">
        <v>805</v>
      </c>
      <c r="T67" s="19" t="s">
        <v>806</v>
      </c>
      <c r="U67" s="19" t="s">
        <v>67</v>
      </c>
    </row>
    <row r="68" customFormat="false" ht="96" hidden="false" customHeight="true" outlineLevel="0" collapsed="false">
      <c r="A68" s="16" t="n">
        <v>64</v>
      </c>
      <c r="B68" s="16" t="s">
        <v>807</v>
      </c>
      <c r="C68" s="17" t="s">
        <v>808</v>
      </c>
      <c r="D68" s="17" t="s">
        <v>809</v>
      </c>
      <c r="E68" s="16" t="n">
        <v>2023</v>
      </c>
      <c r="F68" s="17" t="s">
        <v>810</v>
      </c>
      <c r="G68" s="16" t="s">
        <v>84</v>
      </c>
      <c r="H68" s="25" t="s">
        <v>7</v>
      </c>
      <c r="I68" s="17" t="s">
        <v>811</v>
      </c>
      <c r="J68" s="17" t="s">
        <v>812</v>
      </c>
      <c r="K68" s="17" t="s">
        <v>813</v>
      </c>
      <c r="L68" s="17" t="s">
        <v>814</v>
      </c>
      <c r="M68" s="17" t="s">
        <v>815</v>
      </c>
      <c r="N68" s="17" t="s">
        <v>816</v>
      </c>
      <c r="O68" s="17" t="s">
        <v>817</v>
      </c>
      <c r="P68" s="17" t="s">
        <v>818</v>
      </c>
      <c r="Q68" s="17" t="s">
        <v>819</v>
      </c>
      <c r="R68" s="16" t="s">
        <v>103</v>
      </c>
      <c r="S68" s="19" t="s">
        <v>820</v>
      </c>
      <c r="T68" s="19" t="s">
        <v>821</v>
      </c>
      <c r="U68" s="19" t="s">
        <v>67</v>
      </c>
    </row>
    <row r="69" customFormat="false" ht="96" hidden="false" customHeight="true" outlineLevel="0" collapsed="false">
      <c r="A69" s="16" t="n">
        <v>65</v>
      </c>
      <c r="B69" s="16" t="s">
        <v>822</v>
      </c>
      <c r="C69" s="17" t="s">
        <v>823</v>
      </c>
      <c r="D69" s="17" t="s">
        <v>824</v>
      </c>
      <c r="E69" s="16" t="n">
        <v>2023</v>
      </c>
      <c r="F69" s="17" t="s">
        <v>71</v>
      </c>
      <c r="G69" s="16" t="s">
        <v>56</v>
      </c>
      <c r="H69" s="25" t="s">
        <v>7</v>
      </c>
      <c r="I69" s="17" t="s">
        <v>811</v>
      </c>
      <c r="J69" s="17" t="s">
        <v>825</v>
      </c>
      <c r="K69" s="17" t="s">
        <v>826</v>
      </c>
      <c r="L69" s="17" t="s">
        <v>827</v>
      </c>
      <c r="M69" s="17" t="s">
        <v>828</v>
      </c>
      <c r="N69" s="17" t="s">
        <v>829</v>
      </c>
      <c r="O69" s="17" t="s">
        <v>830</v>
      </c>
      <c r="P69" s="17" t="s">
        <v>831</v>
      </c>
      <c r="Q69" s="17" t="s">
        <v>832</v>
      </c>
      <c r="R69" s="16" t="s">
        <v>65</v>
      </c>
      <c r="S69" s="16"/>
      <c r="T69" s="19" t="s">
        <v>833</v>
      </c>
      <c r="U69" s="19" t="s">
        <v>67</v>
      </c>
    </row>
    <row r="70" customFormat="false" ht="96" hidden="false" customHeight="true" outlineLevel="0" collapsed="false">
      <c r="A70" s="16" t="n">
        <v>66</v>
      </c>
      <c r="B70" s="16" t="s">
        <v>834</v>
      </c>
      <c r="C70" s="17" t="s">
        <v>835</v>
      </c>
      <c r="D70" s="17" t="s">
        <v>836</v>
      </c>
      <c r="E70" s="16" t="n">
        <v>2023</v>
      </c>
      <c r="F70" s="17" t="s">
        <v>796</v>
      </c>
      <c r="G70" s="16" t="s">
        <v>199</v>
      </c>
      <c r="H70" s="23" t="s">
        <v>19</v>
      </c>
      <c r="I70" s="17" t="s">
        <v>328</v>
      </c>
      <c r="J70" s="17" t="s">
        <v>837</v>
      </c>
      <c r="K70" s="17" t="s">
        <v>838</v>
      </c>
      <c r="L70" s="17" t="s">
        <v>839</v>
      </c>
      <c r="M70" s="17" t="s">
        <v>840</v>
      </c>
      <c r="N70" s="17" t="s">
        <v>841</v>
      </c>
      <c r="O70" s="17" t="s">
        <v>842</v>
      </c>
      <c r="P70" s="17" t="s">
        <v>843</v>
      </c>
      <c r="Q70" s="17" t="s">
        <v>844</v>
      </c>
      <c r="R70" s="16" t="s">
        <v>103</v>
      </c>
      <c r="S70" s="19" t="s">
        <v>845</v>
      </c>
      <c r="T70" s="19" t="s">
        <v>846</v>
      </c>
      <c r="U70" s="19" t="s">
        <v>67</v>
      </c>
    </row>
    <row r="71" customFormat="false" ht="96" hidden="false" customHeight="true" outlineLevel="0" collapsed="false">
      <c r="A71" s="16" t="n">
        <v>67</v>
      </c>
      <c r="B71" s="16" t="s">
        <v>847</v>
      </c>
      <c r="C71" s="17" t="s">
        <v>848</v>
      </c>
      <c r="D71" s="17" t="s">
        <v>849</v>
      </c>
      <c r="E71" s="16" t="n">
        <v>2023</v>
      </c>
      <c r="F71" s="17" t="s">
        <v>661</v>
      </c>
      <c r="G71" s="16" t="s">
        <v>199</v>
      </c>
      <c r="H71" s="22" t="s">
        <v>9</v>
      </c>
      <c r="I71" s="17" t="s">
        <v>223</v>
      </c>
      <c r="J71" s="17" t="s">
        <v>224</v>
      </c>
      <c r="K71" s="17" t="s">
        <v>850</v>
      </c>
      <c r="L71" s="17" t="s">
        <v>851</v>
      </c>
      <c r="M71" s="17" t="s">
        <v>852</v>
      </c>
      <c r="N71" s="17" t="s">
        <v>853</v>
      </c>
      <c r="O71" s="17" t="s">
        <v>854</v>
      </c>
      <c r="P71" s="17" t="s">
        <v>855</v>
      </c>
      <c r="Q71" s="17" t="s">
        <v>856</v>
      </c>
      <c r="R71" s="16" t="s">
        <v>65</v>
      </c>
      <c r="S71" s="16"/>
      <c r="T71" s="19" t="s">
        <v>857</v>
      </c>
      <c r="U71" s="19" t="s">
        <v>67</v>
      </c>
    </row>
    <row r="72" customFormat="false" ht="96" hidden="false" customHeight="true" outlineLevel="0" collapsed="false">
      <c r="A72" s="16" t="n">
        <v>68</v>
      </c>
      <c r="B72" s="16" t="s">
        <v>858</v>
      </c>
      <c r="C72" s="17" t="s">
        <v>859</v>
      </c>
      <c r="D72" s="17" t="s">
        <v>795</v>
      </c>
      <c r="E72" s="16" t="n">
        <v>2023</v>
      </c>
      <c r="F72" s="17" t="s">
        <v>237</v>
      </c>
      <c r="G72" s="16" t="s">
        <v>199</v>
      </c>
      <c r="H72" s="18" t="s">
        <v>23</v>
      </c>
      <c r="I72" s="17" t="s">
        <v>23</v>
      </c>
      <c r="J72" s="17" t="s">
        <v>860</v>
      </c>
      <c r="K72" s="17" t="s">
        <v>861</v>
      </c>
      <c r="L72" s="17" t="s">
        <v>862</v>
      </c>
      <c r="M72" s="17" t="s">
        <v>863</v>
      </c>
      <c r="N72" s="17" t="s">
        <v>864</v>
      </c>
      <c r="O72" s="17" t="s">
        <v>865</v>
      </c>
      <c r="P72" s="17" t="s">
        <v>866</v>
      </c>
      <c r="Q72" s="17" t="s">
        <v>867</v>
      </c>
      <c r="R72" s="16" t="s">
        <v>103</v>
      </c>
      <c r="S72" s="19" t="s">
        <v>805</v>
      </c>
      <c r="T72" s="19" t="s">
        <v>868</v>
      </c>
      <c r="U72" s="19" t="s">
        <v>67</v>
      </c>
    </row>
    <row r="73" customFormat="false" ht="96" hidden="false" customHeight="true" outlineLevel="0" collapsed="false">
      <c r="A73" s="16" t="n">
        <v>69</v>
      </c>
      <c r="B73" s="16" t="s">
        <v>869</v>
      </c>
      <c r="C73" s="17" t="s">
        <v>870</v>
      </c>
      <c r="D73" s="17" t="s">
        <v>871</v>
      </c>
      <c r="E73" s="16" t="n">
        <v>2023</v>
      </c>
      <c r="F73" s="17" t="s">
        <v>661</v>
      </c>
      <c r="G73" s="16" t="s">
        <v>199</v>
      </c>
      <c r="H73" s="23" t="s">
        <v>21</v>
      </c>
      <c r="I73" s="17" t="s">
        <v>328</v>
      </c>
      <c r="J73" s="17" t="s">
        <v>872</v>
      </c>
      <c r="K73" s="17" t="s">
        <v>663</v>
      </c>
      <c r="L73" s="17" t="s">
        <v>873</v>
      </c>
      <c r="M73" s="17" t="s">
        <v>874</v>
      </c>
      <c r="N73" s="17" t="s">
        <v>875</v>
      </c>
      <c r="O73" s="17" t="s">
        <v>463</v>
      </c>
      <c r="P73" s="17" t="s">
        <v>876</v>
      </c>
      <c r="Q73" s="17" t="s">
        <v>877</v>
      </c>
      <c r="R73" s="16" t="s">
        <v>103</v>
      </c>
      <c r="S73" s="19" t="s">
        <v>878</v>
      </c>
      <c r="T73" s="19" t="s">
        <v>879</v>
      </c>
      <c r="U73" s="19" t="s">
        <v>67</v>
      </c>
    </row>
    <row r="74" customFormat="false" ht="96" hidden="false" customHeight="true" outlineLevel="0" collapsed="false">
      <c r="A74" s="16" t="n">
        <v>70</v>
      </c>
      <c r="B74" s="16" t="s">
        <v>880</v>
      </c>
      <c r="C74" s="17" t="s">
        <v>881</v>
      </c>
      <c r="D74" s="17" t="s">
        <v>882</v>
      </c>
      <c r="E74" s="16" t="n">
        <v>2023</v>
      </c>
      <c r="F74" s="17" t="s">
        <v>883</v>
      </c>
      <c r="G74" s="16" t="s">
        <v>446</v>
      </c>
      <c r="H74" s="23" t="s">
        <v>21</v>
      </c>
      <c r="I74" s="17" t="s">
        <v>328</v>
      </c>
      <c r="J74" s="17" t="s">
        <v>884</v>
      </c>
      <c r="K74" s="17" t="s">
        <v>885</v>
      </c>
      <c r="L74" s="17" t="s">
        <v>886</v>
      </c>
      <c r="M74" s="17" t="s">
        <v>887</v>
      </c>
      <c r="N74" s="17" t="s">
        <v>888</v>
      </c>
      <c r="O74" s="17" t="s">
        <v>76</v>
      </c>
      <c r="P74" s="17" t="s">
        <v>889</v>
      </c>
      <c r="Q74" s="17" t="s">
        <v>890</v>
      </c>
      <c r="R74" s="16" t="s">
        <v>103</v>
      </c>
      <c r="S74" s="19" t="s">
        <v>891</v>
      </c>
      <c r="T74" s="19" t="s">
        <v>892</v>
      </c>
      <c r="U74" s="19" t="s">
        <v>67</v>
      </c>
    </row>
    <row r="75" customFormat="false" ht="96" hidden="false" customHeight="true" outlineLevel="0" collapsed="false">
      <c r="A75" s="16" t="n">
        <v>71</v>
      </c>
      <c r="B75" s="16" t="s">
        <v>893</v>
      </c>
      <c r="C75" s="17" t="s">
        <v>894</v>
      </c>
      <c r="D75" s="17" t="s">
        <v>895</v>
      </c>
      <c r="E75" s="16" t="n">
        <v>2023</v>
      </c>
      <c r="F75" s="17" t="s">
        <v>291</v>
      </c>
      <c r="G75" s="16" t="s">
        <v>199</v>
      </c>
      <c r="H75" s="22" t="s">
        <v>9</v>
      </c>
      <c r="I75" s="17" t="s">
        <v>223</v>
      </c>
      <c r="J75" s="17" t="s">
        <v>896</v>
      </c>
      <c r="K75" s="17" t="s">
        <v>897</v>
      </c>
      <c r="L75" s="17" t="s">
        <v>898</v>
      </c>
      <c r="M75" s="17" t="s">
        <v>899</v>
      </c>
      <c r="N75" s="17" t="s">
        <v>900</v>
      </c>
      <c r="O75" s="17" t="s">
        <v>901</v>
      </c>
      <c r="P75" s="17" t="s">
        <v>902</v>
      </c>
      <c r="Q75" s="17" t="s">
        <v>903</v>
      </c>
      <c r="R75" s="16" t="s">
        <v>65</v>
      </c>
      <c r="S75" s="16"/>
      <c r="T75" s="19" t="s">
        <v>904</v>
      </c>
      <c r="U75" s="19" t="s">
        <v>67</v>
      </c>
    </row>
    <row r="76" customFormat="false" ht="96" hidden="false" customHeight="true" outlineLevel="0" collapsed="false">
      <c r="A76" s="16" t="n">
        <v>72</v>
      </c>
      <c r="B76" s="16" t="s">
        <v>905</v>
      </c>
      <c r="C76" s="17" t="s">
        <v>906</v>
      </c>
      <c r="D76" s="17" t="s">
        <v>771</v>
      </c>
      <c r="E76" s="16" t="n">
        <v>2023</v>
      </c>
      <c r="F76" s="17" t="s">
        <v>907</v>
      </c>
      <c r="G76" s="16" t="s">
        <v>148</v>
      </c>
      <c r="H76" s="18" t="s">
        <v>23</v>
      </c>
      <c r="I76" s="17" t="s">
        <v>23</v>
      </c>
      <c r="J76" s="17" t="s">
        <v>642</v>
      </c>
      <c r="K76" s="17" t="s">
        <v>908</v>
      </c>
      <c r="L76" s="17" t="s">
        <v>909</v>
      </c>
      <c r="M76" s="17" t="s">
        <v>910</v>
      </c>
      <c r="N76" s="17" t="s">
        <v>777</v>
      </c>
      <c r="O76" s="17" t="s">
        <v>76</v>
      </c>
      <c r="P76" s="17" t="s">
        <v>911</v>
      </c>
      <c r="Q76" s="17" t="s">
        <v>912</v>
      </c>
      <c r="R76" s="16" t="s">
        <v>65</v>
      </c>
      <c r="S76" s="16"/>
      <c r="T76" s="19" t="s">
        <v>913</v>
      </c>
      <c r="U76" s="19" t="s">
        <v>67</v>
      </c>
    </row>
    <row r="77" customFormat="false" ht="96" hidden="false" customHeight="true" outlineLevel="0" collapsed="false">
      <c r="A77" s="16" t="n">
        <v>73</v>
      </c>
      <c r="B77" s="16" t="s">
        <v>914</v>
      </c>
      <c r="C77" s="17" t="s">
        <v>915</v>
      </c>
      <c r="D77" s="17" t="s">
        <v>916</v>
      </c>
      <c r="E77" s="16" t="n">
        <v>2023</v>
      </c>
      <c r="F77" s="17" t="s">
        <v>883</v>
      </c>
      <c r="G77" s="16" t="s">
        <v>446</v>
      </c>
      <c r="H77" s="21" t="s">
        <v>13</v>
      </c>
      <c r="I77" s="17" t="s">
        <v>125</v>
      </c>
      <c r="J77" s="17" t="s">
        <v>917</v>
      </c>
      <c r="K77" s="17" t="s">
        <v>918</v>
      </c>
      <c r="L77" s="17" t="s">
        <v>919</v>
      </c>
      <c r="M77" s="17" t="s">
        <v>920</v>
      </c>
      <c r="N77" s="17" t="s">
        <v>921</v>
      </c>
      <c r="O77" s="17" t="s">
        <v>922</v>
      </c>
      <c r="P77" s="17" t="s">
        <v>923</v>
      </c>
      <c r="Q77" s="17" t="s">
        <v>924</v>
      </c>
      <c r="R77" s="16" t="s">
        <v>65</v>
      </c>
      <c r="S77" s="16"/>
      <c r="T77" s="19" t="s">
        <v>925</v>
      </c>
      <c r="U77" s="19" t="s">
        <v>67</v>
      </c>
    </row>
    <row r="78" customFormat="false" ht="96" hidden="false" customHeight="true" outlineLevel="0" collapsed="false">
      <c r="A78" s="16" t="n">
        <v>74</v>
      </c>
      <c r="B78" s="16" t="s">
        <v>926</v>
      </c>
      <c r="C78" s="17" t="s">
        <v>927</v>
      </c>
      <c r="D78" s="17" t="s">
        <v>928</v>
      </c>
      <c r="E78" s="16" t="n">
        <v>2023</v>
      </c>
      <c r="F78" s="17" t="s">
        <v>661</v>
      </c>
      <c r="G78" s="16" t="s">
        <v>199</v>
      </c>
      <c r="H78" s="23" t="s">
        <v>19</v>
      </c>
      <c r="I78" s="17" t="s">
        <v>328</v>
      </c>
      <c r="J78" s="17" t="s">
        <v>929</v>
      </c>
      <c r="K78" s="17" t="s">
        <v>930</v>
      </c>
      <c r="L78" s="17" t="s">
        <v>931</v>
      </c>
      <c r="M78" s="17" t="s">
        <v>932</v>
      </c>
      <c r="N78" s="17" t="s">
        <v>333</v>
      </c>
      <c r="O78" s="17" t="s">
        <v>334</v>
      </c>
      <c r="P78" s="17" t="s">
        <v>933</v>
      </c>
      <c r="Q78" s="17" t="s">
        <v>934</v>
      </c>
      <c r="R78" s="16" t="s">
        <v>103</v>
      </c>
      <c r="S78" s="19" t="s">
        <v>935</v>
      </c>
      <c r="T78" s="19" t="s">
        <v>936</v>
      </c>
      <c r="U78" s="19" t="s">
        <v>67</v>
      </c>
    </row>
    <row r="79" customFormat="false" ht="96" hidden="false" customHeight="true" outlineLevel="0" collapsed="false">
      <c r="A79" s="16" t="n">
        <v>75</v>
      </c>
      <c r="B79" s="16" t="s">
        <v>937</v>
      </c>
      <c r="C79" s="17" t="s">
        <v>938</v>
      </c>
      <c r="D79" s="17" t="s">
        <v>939</v>
      </c>
      <c r="E79" s="16" t="n">
        <v>2023</v>
      </c>
      <c r="F79" s="17" t="s">
        <v>907</v>
      </c>
      <c r="G79" s="16" t="s">
        <v>148</v>
      </c>
      <c r="H79" s="18" t="s">
        <v>23</v>
      </c>
      <c r="I79" s="17" t="s">
        <v>23</v>
      </c>
      <c r="J79" s="17" t="s">
        <v>940</v>
      </c>
      <c r="K79" s="17" t="s">
        <v>941</v>
      </c>
      <c r="L79" s="17" t="s">
        <v>942</v>
      </c>
      <c r="M79" s="17" t="s">
        <v>943</v>
      </c>
      <c r="N79" s="17" t="s">
        <v>944</v>
      </c>
      <c r="O79" s="17" t="s">
        <v>76</v>
      </c>
      <c r="P79" s="17" t="s">
        <v>945</v>
      </c>
      <c r="Q79" s="17" t="s">
        <v>946</v>
      </c>
      <c r="R79" s="16" t="s">
        <v>65</v>
      </c>
      <c r="S79" s="16"/>
      <c r="T79" s="19" t="s">
        <v>947</v>
      </c>
      <c r="U79" s="19" t="s">
        <v>67</v>
      </c>
    </row>
    <row r="80" customFormat="false" ht="96" hidden="false" customHeight="true" outlineLevel="0" collapsed="false">
      <c r="A80" s="16" t="n">
        <v>76</v>
      </c>
      <c r="B80" s="16" t="s">
        <v>948</v>
      </c>
      <c r="C80" s="17" t="s">
        <v>949</v>
      </c>
      <c r="D80" s="17" t="s">
        <v>950</v>
      </c>
      <c r="E80" s="16" t="n">
        <v>2023</v>
      </c>
      <c r="F80" s="17" t="s">
        <v>675</v>
      </c>
      <c r="G80" s="16" t="s">
        <v>148</v>
      </c>
      <c r="H80" s="18" t="s">
        <v>23</v>
      </c>
      <c r="I80" s="17" t="s">
        <v>23</v>
      </c>
      <c r="J80" s="17" t="s">
        <v>631</v>
      </c>
      <c r="K80" s="17" t="s">
        <v>951</v>
      </c>
      <c r="L80" s="17" t="s">
        <v>952</v>
      </c>
      <c r="M80" s="17" t="s">
        <v>953</v>
      </c>
      <c r="N80" s="17" t="s">
        <v>954</v>
      </c>
      <c r="O80" s="17" t="s">
        <v>76</v>
      </c>
      <c r="P80" s="17" t="s">
        <v>955</v>
      </c>
      <c r="Q80" s="17" t="s">
        <v>956</v>
      </c>
      <c r="R80" s="16" t="s">
        <v>103</v>
      </c>
      <c r="S80" s="19" t="s">
        <v>957</v>
      </c>
      <c r="T80" s="19" t="s">
        <v>958</v>
      </c>
      <c r="U80" s="19" t="s">
        <v>67</v>
      </c>
    </row>
    <row r="81" customFormat="false" ht="96" hidden="false" customHeight="true" outlineLevel="0" collapsed="false">
      <c r="A81" s="16" t="n">
        <v>77</v>
      </c>
      <c r="B81" s="16" t="s">
        <v>959</v>
      </c>
      <c r="C81" s="17" t="s">
        <v>960</v>
      </c>
      <c r="D81" s="17" t="s">
        <v>961</v>
      </c>
      <c r="E81" s="16" t="n">
        <v>2023</v>
      </c>
      <c r="F81" s="17" t="s">
        <v>237</v>
      </c>
      <c r="G81" s="16" t="s">
        <v>199</v>
      </c>
      <c r="H81" s="22" t="s">
        <v>9</v>
      </c>
      <c r="I81" s="17" t="s">
        <v>223</v>
      </c>
      <c r="J81" s="17" t="s">
        <v>962</v>
      </c>
      <c r="K81" s="17" t="s">
        <v>963</v>
      </c>
      <c r="L81" s="17" t="s">
        <v>964</v>
      </c>
      <c r="M81" s="17" t="s">
        <v>965</v>
      </c>
      <c r="N81" s="17" t="s">
        <v>966</v>
      </c>
      <c r="O81" s="17" t="s">
        <v>967</v>
      </c>
      <c r="P81" s="17" t="s">
        <v>968</v>
      </c>
      <c r="Q81" s="17" t="s">
        <v>969</v>
      </c>
      <c r="R81" s="16" t="s">
        <v>65</v>
      </c>
      <c r="S81" s="16"/>
      <c r="T81" s="19" t="s">
        <v>970</v>
      </c>
      <c r="U81" s="19" t="s">
        <v>67</v>
      </c>
    </row>
    <row r="82" customFormat="false" ht="96" hidden="false" customHeight="true" outlineLevel="0" collapsed="false">
      <c r="A82" s="16" t="n">
        <v>78</v>
      </c>
      <c r="B82" s="16" t="s">
        <v>971</v>
      </c>
      <c r="C82" s="17" t="s">
        <v>972</v>
      </c>
      <c r="D82" s="17" t="s">
        <v>973</v>
      </c>
      <c r="E82" s="16" t="n">
        <v>2023</v>
      </c>
      <c r="F82" s="17" t="s">
        <v>411</v>
      </c>
      <c r="G82" s="16" t="s">
        <v>199</v>
      </c>
      <c r="H82" s="26" t="s">
        <v>17</v>
      </c>
      <c r="I82" s="17" t="s">
        <v>17</v>
      </c>
      <c r="J82" s="17" t="s">
        <v>974</v>
      </c>
      <c r="K82" s="17" t="s">
        <v>975</v>
      </c>
      <c r="L82" s="17" t="s">
        <v>976</v>
      </c>
      <c r="M82" s="17" t="s">
        <v>977</v>
      </c>
      <c r="N82" s="17" t="s">
        <v>978</v>
      </c>
      <c r="O82" s="17" t="s">
        <v>979</v>
      </c>
      <c r="P82" s="17" t="s">
        <v>980</v>
      </c>
      <c r="Q82" s="17" t="s">
        <v>981</v>
      </c>
      <c r="R82" s="16" t="s">
        <v>65</v>
      </c>
      <c r="S82" s="16"/>
      <c r="T82" s="19" t="s">
        <v>982</v>
      </c>
      <c r="U82" s="19" t="s">
        <v>67</v>
      </c>
    </row>
    <row r="83" customFormat="false" ht="96" hidden="false" customHeight="true" outlineLevel="0" collapsed="false">
      <c r="A83" s="16" t="n">
        <v>79</v>
      </c>
      <c r="B83" s="16" t="s">
        <v>983</v>
      </c>
      <c r="C83" s="17" t="s">
        <v>984</v>
      </c>
      <c r="D83" s="17" t="s">
        <v>985</v>
      </c>
      <c r="E83" s="16" t="n">
        <v>2023</v>
      </c>
      <c r="F83" s="17" t="s">
        <v>796</v>
      </c>
      <c r="G83" s="16" t="s">
        <v>199</v>
      </c>
      <c r="H83" s="22" t="s">
        <v>9</v>
      </c>
      <c r="I83" s="17" t="s">
        <v>223</v>
      </c>
      <c r="J83" s="17" t="s">
        <v>279</v>
      </c>
      <c r="K83" s="17" t="s">
        <v>986</v>
      </c>
      <c r="L83" s="17" t="s">
        <v>987</v>
      </c>
      <c r="M83" s="17" t="s">
        <v>988</v>
      </c>
      <c r="N83" s="17" t="s">
        <v>989</v>
      </c>
      <c r="O83" s="17" t="s">
        <v>990</v>
      </c>
      <c r="P83" s="17" t="s">
        <v>991</v>
      </c>
      <c r="Q83" s="17" t="s">
        <v>992</v>
      </c>
      <c r="R83" s="16" t="s">
        <v>65</v>
      </c>
      <c r="S83" s="16"/>
      <c r="T83" s="19" t="s">
        <v>993</v>
      </c>
      <c r="U83" s="19" t="s">
        <v>67</v>
      </c>
    </row>
    <row r="84" customFormat="false" ht="96" hidden="false" customHeight="true" outlineLevel="0" collapsed="false">
      <c r="A84" s="16" t="n">
        <v>80</v>
      </c>
      <c r="B84" s="16" t="s">
        <v>994</v>
      </c>
      <c r="C84" s="17" t="s">
        <v>995</v>
      </c>
      <c r="D84" s="17" t="s">
        <v>996</v>
      </c>
      <c r="E84" s="16" t="n">
        <v>2023</v>
      </c>
      <c r="F84" s="17" t="s">
        <v>605</v>
      </c>
      <c r="G84" s="16" t="s">
        <v>148</v>
      </c>
      <c r="H84" s="21" t="s">
        <v>13</v>
      </c>
      <c r="I84" s="17" t="s">
        <v>125</v>
      </c>
      <c r="J84" s="17" t="s">
        <v>631</v>
      </c>
      <c r="K84" s="17" t="s">
        <v>997</v>
      </c>
      <c r="L84" s="17" t="s">
        <v>998</v>
      </c>
      <c r="M84" s="17" t="s">
        <v>999</v>
      </c>
      <c r="N84" s="17" t="s">
        <v>750</v>
      </c>
      <c r="O84" s="17" t="s">
        <v>1000</v>
      </c>
      <c r="P84" s="17" t="s">
        <v>1001</v>
      </c>
      <c r="Q84" s="17" t="s">
        <v>1002</v>
      </c>
      <c r="R84" s="16" t="s">
        <v>103</v>
      </c>
      <c r="S84" s="19" t="s">
        <v>1003</v>
      </c>
      <c r="T84" s="19" t="s">
        <v>1004</v>
      </c>
      <c r="U84" s="19" t="s">
        <v>67</v>
      </c>
    </row>
    <row r="85" customFormat="false" ht="96" hidden="false" customHeight="true" outlineLevel="0" collapsed="false">
      <c r="A85" s="16" t="n">
        <v>81</v>
      </c>
      <c r="B85" s="16" t="s">
        <v>1005</v>
      </c>
      <c r="C85" s="17" t="s">
        <v>1006</v>
      </c>
      <c r="D85" s="17" t="s">
        <v>1007</v>
      </c>
      <c r="E85" s="16" t="n">
        <v>2023</v>
      </c>
      <c r="F85" s="17" t="s">
        <v>661</v>
      </c>
      <c r="G85" s="16" t="s">
        <v>199</v>
      </c>
      <c r="H85" s="24" t="s">
        <v>15</v>
      </c>
      <c r="I85" s="17" t="s">
        <v>592</v>
      </c>
      <c r="J85" s="17" t="s">
        <v>593</v>
      </c>
      <c r="K85" s="17" t="s">
        <v>1008</v>
      </c>
      <c r="L85" s="17" t="s">
        <v>1009</v>
      </c>
      <c r="M85" s="17" t="s">
        <v>1010</v>
      </c>
      <c r="N85" s="17" t="s">
        <v>1011</v>
      </c>
      <c r="O85" s="17" t="s">
        <v>334</v>
      </c>
      <c r="P85" s="17" t="s">
        <v>1012</v>
      </c>
      <c r="Q85" s="17" t="s">
        <v>1013</v>
      </c>
      <c r="R85" s="16" t="s">
        <v>103</v>
      </c>
      <c r="S85" s="19" t="s">
        <v>600</v>
      </c>
      <c r="T85" s="19" t="s">
        <v>1014</v>
      </c>
      <c r="U85" s="19" t="s">
        <v>67</v>
      </c>
    </row>
    <row r="86" customFormat="false" ht="96" hidden="false" customHeight="true" outlineLevel="0" collapsed="false">
      <c r="A86" s="16" t="n">
        <v>82</v>
      </c>
      <c r="B86" s="16" t="s">
        <v>1015</v>
      </c>
      <c r="C86" s="17" t="s">
        <v>1016</v>
      </c>
      <c r="D86" s="17" t="s">
        <v>1017</v>
      </c>
      <c r="E86" s="16" t="n">
        <v>2023</v>
      </c>
      <c r="F86" s="17" t="s">
        <v>675</v>
      </c>
      <c r="G86" s="16" t="s">
        <v>148</v>
      </c>
      <c r="H86" s="21" t="s">
        <v>13</v>
      </c>
      <c r="I86" s="17" t="s">
        <v>125</v>
      </c>
      <c r="J86" s="17" t="s">
        <v>1018</v>
      </c>
      <c r="K86" s="17" t="s">
        <v>1019</v>
      </c>
      <c r="L86" s="17" t="s">
        <v>1020</v>
      </c>
      <c r="M86" s="17" t="s">
        <v>1021</v>
      </c>
      <c r="N86" s="17" t="s">
        <v>1022</v>
      </c>
      <c r="O86" s="17" t="s">
        <v>1023</v>
      </c>
      <c r="P86" s="17" t="s">
        <v>1024</v>
      </c>
      <c r="Q86" s="17" t="s">
        <v>1025</v>
      </c>
      <c r="R86" s="16" t="s">
        <v>103</v>
      </c>
      <c r="S86" s="19" t="s">
        <v>1026</v>
      </c>
      <c r="T86" s="19" t="s">
        <v>1027</v>
      </c>
      <c r="U86" s="19" t="s">
        <v>67</v>
      </c>
    </row>
    <row r="87" customFormat="false" ht="96" hidden="false" customHeight="true" outlineLevel="0" collapsed="false">
      <c r="A87" s="16" t="n">
        <v>83</v>
      </c>
      <c r="B87" s="16" t="s">
        <v>1028</v>
      </c>
      <c r="C87" s="17" t="s">
        <v>1029</v>
      </c>
      <c r="D87" s="17" t="s">
        <v>1030</v>
      </c>
      <c r="E87" s="16" t="n">
        <v>2023</v>
      </c>
      <c r="F87" s="17" t="s">
        <v>209</v>
      </c>
      <c r="G87" s="16" t="s">
        <v>199</v>
      </c>
      <c r="H87" s="22" t="s">
        <v>9</v>
      </c>
      <c r="I87" s="17" t="s">
        <v>223</v>
      </c>
      <c r="J87" s="17" t="s">
        <v>224</v>
      </c>
      <c r="K87" s="17" t="s">
        <v>1031</v>
      </c>
      <c r="L87" s="17" t="s">
        <v>1032</v>
      </c>
      <c r="M87" s="17" t="s">
        <v>1033</v>
      </c>
      <c r="N87" s="17" t="s">
        <v>1034</v>
      </c>
      <c r="O87" s="17" t="s">
        <v>1035</v>
      </c>
      <c r="P87" s="17" t="s">
        <v>1036</v>
      </c>
      <c r="Q87" s="17" t="s">
        <v>1037</v>
      </c>
      <c r="R87" s="16" t="s">
        <v>103</v>
      </c>
      <c r="S87" s="19" t="s">
        <v>1038</v>
      </c>
      <c r="T87" s="19" t="s">
        <v>1039</v>
      </c>
      <c r="U87" s="19" t="s">
        <v>67</v>
      </c>
    </row>
    <row r="88" customFormat="false" ht="96" hidden="false" customHeight="true" outlineLevel="0" collapsed="false">
      <c r="A88" s="16" t="n">
        <v>84</v>
      </c>
      <c r="B88" s="16" t="s">
        <v>1040</v>
      </c>
      <c r="C88" s="17" t="s">
        <v>1041</v>
      </c>
      <c r="D88" s="17" t="s">
        <v>1042</v>
      </c>
      <c r="E88" s="16" t="n">
        <v>2023</v>
      </c>
      <c r="F88" s="17" t="s">
        <v>907</v>
      </c>
      <c r="G88" s="16" t="s">
        <v>148</v>
      </c>
      <c r="H88" s="23" t="s">
        <v>21</v>
      </c>
      <c r="I88" s="17" t="s">
        <v>328</v>
      </c>
      <c r="J88" s="17" t="s">
        <v>1043</v>
      </c>
      <c r="K88" s="17" t="s">
        <v>1044</v>
      </c>
      <c r="L88" s="17" t="s">
        <v>1045</v>
      </c>
      <c r="M88" s="17" t="s">
        <v>1046</v>
      </c>
      <c r="N88" s="17" t="s">
        <v>1047</v>
      </c>
      <c r="O88" s="17" t="s">
        <v>1048</v>
      </c>
      <c r="P88" s="17" t="s">
        <v>1049</v>
      </c>
      <c r="Q88" s="17" t="s">
        <v>1050</v>
      </c>
      <c r="R88" s="16" t="s">
        <v>103</v>
      </c>
      <c r="S88" s="19" t="s">
        <v>1051</v>
      </c>
      <c r="T88" s="19" t="s">
        <v>1052</v>
      </c>
      <c r="U88" s="19" t="s">
        <v>67</v>
      </c>
    </row>
    <row r="89" customFormat="false" ht="96" hidden="false" customHeight="true" outlineLevel="0" collapsed="false">
      <c r="A89" s="16" t="n">
        <v>85</v>
      </c>
      <c r="B89" s="16" t="s">
        <v>1053</v>
      </c>
      <c r="C89" s="17" t="s">
        <v>1054</v>
      </c>
      <c r="D89" s="17" t="s">
        <v>1055</v>
      </c>
      <c r="E89" s="16" t="n">
        <v>2023</v>
      </c>
      <c r="F89" s="17" t="s">
        <v>557</v>
      </c>
      <c r="G89" s="16" t="s">
        <v>446</v>
      </c>
      <c r="H89" s="20" t="s">
        <v>25</v>
      </c>
      <c r="I89" s="17" t="s">
        <v>72</v>
      </c>
      <c r="J89" s="17" t="s">
        <v>73</v>
      </c>
      <c r="K89" s="17" t="s">
        <v>73</v>
      </c>
      <c r="L89" s="17" t="s">
        <v>1056</v>
      </c>
      <c r="M89" s="17" t="s">
        <v>1057</v>
      </c>
      <c r="N89" s="17" t="s">
        <v>76</v>
      </c>
      <c r="O89" s="17" t="s">
        <v>76</v>
      </c>
      <c r="P89" s="17" t="s">
        <v>1058</v>
      </c>
      <c r="Q89" s="17" t="s">
        <v>1059</v>
      </c>
      <c r="R89" s="16" t="s">
        <v>65</v>
      </c>
      <c r="S89" s="16"/>
      <c r="T89" s="19" t="s">
        <v>1060</v>
      </c>
      <c r="U89" s="19" t="s">
        <v>67</v>
      </c>
    </row>
    <row r="90" customFormat="false" ht="96" hidden="false" customHeight="true" outlineLevel="0" collapsed="false">
      <c r="A90" s="16" t="n">
        <v>86</v>
      </c>
      <c r="B90" s="16" t="s">
        <v>1061</v>
      </c>
      <c r="C90" s="17" t="s">
        <v>1062</v>
      </c>
      <c r="D90" s="17" t="s">
        <v>1063</v>
      </c>
      <c r="E90" s="16" t="n">
        <v>2023</v>
      </c>
      <c r="F90" s="17" t="s">
        <v>1064</v>
      </c>
      <c r="G90" s="16" t="s">
        <v>84</v>
      </c>
      <c r="H90" s="23" t="s">
        <v>19</v>
      </c>
      <c r="I90" s="17" t="s">
        <v>328</v>
      </c>
      <c r="J90" s="17" t="s">
        <v>713</v>
      </c>
      <c r="K90" s="17" t="s">
        <v>73</v>
      </c>
      <c r="L90" s="17" t="s">
        <v>1065</v>
      </c>
      <c r="M90" s="17" t="s">
        <v>1066</v>
      </c>
      <c r="N90" s="17" t="s">
        <v>76</v>
      </c>
      <c r="O90" s="17" t="s">
        <v>76</v>
      </c>
      <c r="P90" s="17" t="s">
        <v>1067</v>
      </c>
      <c r="Q90" s="17" t="s">
        <v>1068</v>
      </c>
      <c r="R90" s="16" t="s">
        <v>65</v>
      </c>
      <c r="S90" s="16"/>
      <c r="T90" s="19" t="s">
        <v>1069</v>
      </c>
      <c r="U90" s="19" t="s">
        <v>67</v>
      </c>
    </row>
    <row r="91" customFormat="false" ht="96" hidden="false" customHeight="true" outlineLevel="0" collapsed="false">
      <c r="A91" s="16" t="n">
        <v>87</v>
      </c>
      <c r="B91" s="16" t="s">
        <v>1070</v>
      </c>
      <c r="C91" s="17" t="s">
        <v>1071</v>
      </c>
      <c r="D91" s="17" t="s">
        <v>1072</v>
      </c>
      <c r="E91" s="16" t="n">
        <v>2023</v>
      </c>
      <c r="F91" s="17" t="s">
        <v>907</v>
      </c>
      <c r="G91" s="16" t="s">
        <v>148</v>
      </c>
      <c r="H91" s="23" t="s">
        <v>21</v>
      </c>
      <c r="I91" s="17" t="s">
        <v>328</v>
      </c>
      <c r="J91" s="17" t="s">
        <v>1073</v>
      </c>
      <c r="K91" s="17" t="s">
        <v>1074</v>
      </c>
      <c r="L91" s="17" t="s">
        <v>1075</v>
      </c>
      <c r="M91" s="17" t="s">
        <v>1076</v>
      </c>
      <c r="N91" s="17" t="s">
        <v>1077</v>
      </c>
      <c r="O91" s="17" t="s">
        <v>1078</v>
      </c>
      <c r="P91" s="17" t="s">
        <v>1079</v>
      </c>
      <c r="Q91" s="17" t="s">
        <v>1080</v>
      </c>
      <c r="R91" s="16" t="s">
        <v>103</v>
      </c>
      <c r="S91" s="19" t="s">
        <v>1081</v>
      </c>
      <c r="T91" s="19" t="s">
        <v>1082</v>
      </c>
      <c r="U91" s="19" t="s">
        <v>67</v>
      </c>
    </row>
    <row r="92" customFormat="false" ht="96" hidden="false" customHeight="true" outlineLevel="0" collapsed="false">
      <c r="A92" s="16" t="n">
        <v>88</v>
      </c>
      <c r="B92" s="16" t="s">
        <v>1083</v>
      </c>
      <c r="C92" s="17" t="s">
        <v>1084</v>
      </c>
      <c r="D92" s="17" t="s">
        <v>1085</v>
      </c>
      <c r="E92" s="16" t="n">
        <v>2023</v>
      </c>
      <c r="F92" s="17" t="s">
        <v>327</v>
      </c>
      <c r="G92" s="16" t="s">
        <v>148</v>
      </c>
      <c r="H92" s="21" t="s">
        <v>13</v>
      </c>
      <c r="I92" s="17" t="s">
        <v>125</v>
      </c>
      <c r="J92" s="17" t="s">
        <v>631</v>
      </c>
      <c r="K92" s="17" t="s">
        <v>1086</v>
      </c>
      <c r="L92" s="17" t="s">
        <v>1087</v>
      </c>
      <c r="M92" s="17" t="s">
        <v>1088</v>
      </c>
      <c r="N92" s="17" t="s">
        <v>1089</v>
      </c>
      <c r="O92" s="17" t="s">
        <v>549</v>
      </c>
      <c r="P92" s="17" t="s">
        <v>1090</v>
      </c>
      <c r="Q92" s="17" t="s">
        <v>1091</v>
      </c>
      <c r="R92" s="16" t="s">
        <v>65</v>
      </c>
      <c r="S92" s="16"/>
      <c r="T92" s="19" t="s">
        <v>1092</v>
      </c>
      <c r="U92" s="19" t="s">
        <v>67</v>
      </c>
    </row>
    <row r="93" customFormat="false" ht="96" hidden="false" customHeight="true" outlineLevel="0" collapsed="false">
      <c r="A93" s="16" t="n">
        <v>89</v>
      </c>
      <c r="B93" s="16" t="s">
        <v>1093</v>
      </c>
      <c r="C93" s="17" t="s">
        <v>1094</v>
      </c>
      <c r="D93" s="17" t="s">
        <v>1095</v>
      </c>
      <c r="E93" s="16" t="n">
        <v>2023</v>
      </c>
      <c r="F93" s="17" t="s">
        <v>209</v>
      </c>
      <c r="G93" s="16" t="s">
        <v>199</v>
      </c>
      <c r="H93" s="21" t="s">
        <v>13</v>
      </c>
      <c r="I93" s="17" t="s">
        <v>125</v>
      </c>
      <c r="J93" s="17" t="s">
        <v>1096</v>
      </c>
      <c r="K93" s="17" t="s">
        <v>1097</v>
      </c>
      <c r="L93" s="17" t="s">
        <v>1098</v>
      </c>
      <c r="M93" s="17" t="s">
        <v>1099</v>
      </c>
      <c r="N93" s="17" t="s">
        <v>1100</v>
      </c>
      <c r="O93" s="17" t="s">
        <v>549</v>
      </c>
      <c r="P93" s="17" t="s">
        <v>1101</v>
      </c>
      <c r="Q93" s="17" t="s">
        <v>1102</v>
      </c>
      <c r="R93" s="16" t="s">
        <v>103</v>
      </c>
      <c r="S93" s="19" t="s">
        <v>1103</v>
      </c>
      <c r="T93" s="19" t="s">
        <v>1104</v>
      </c>
      <c r="U93" s="19" t="s">
        <v>67</v>
      </c>
    </row>
    <row r="94" customFormat="false" ht="96" hidden="false" customHeight="true" outlineLevel="0" collapsed="false">
      <c r="A94" s="16" t="n">
        <v>90</v>
      </c>
      <c r="B94" s="16" t="s">
        <v>1105</v>
      </c>
      <c r="C94" s="17" t="s">
        <v>1106</v>
      </c>
      <c r="D94" s="17" t="s">
        <v>1107</v>
      </c>
      <c r="E94" s="16" t="n">
        <v>2023</v>
      </c>
      <c r="F94" s="17" t="s">
        <v>1108</v>
      </c>
      <c r="G94" s="16" t="s">
        <v>162</v>
      </c>
      <c r="H94" s="20" t="s">
        <v>25</v>
      </c>
      <c r="I94" s="17" t="s">
        <v>72</v>
      </c>
      <c r="J94" s="17" t="s">
        <v>1109</v>
      </c>
      <c r="K94" s="17" t="s">
        <v>1109</v>
      </c>
      <c r="L94" s="17" t="s">
        <v>1110</v>
      </c>
      <c r="M94" s="17" t="s">
        <v>1111</v>
      </c>
      <c r="N94" s="17" t="s">
        <v>1112</v>
      </c>
      <c r="O94" s="17" t="s">
        <v>76</v>
      </c>
      <c r="P94" s="17" t="s">
        <v>1113</v>
      </c>
      <c r="Q94" s="17" t="s">
        <v>1114</v>
      </c>
      <c r="R94" s="16" t="s">
        <v>65</v>
      </c>
      <c r="S94" s="16"/>
      <c r="T94" s="19" t="s">
        <v>1115</v>
      </c>
      <c r="U94" s="19" t="s">
        <v>67</v>
      </c>
    </row>
    <row r="95" customFormat="false" ht="96" hidden="false" customHeight="true" outlineLevel="0" collapsed="false">
      <c r="A95" s="16" t="n">
        <v>91</v>
      </c>
      <c r="B95" s="16" t="s">
        <v>1116</v>
      </c>
      <c r="C95" s="17" t="s">
        <v>1117</v>
      </c>
      <c r="D95" s="17" t="s">
        <v>758</v>
      </c>
      <c r="E95" s="16" t="n">
        <v>2023</v>
      </c>
      <c r="F95" s="17" t="s">
        <v>83</v>
      </c>
      <c r="G95" s="16" t="s">
        <v>84</v>
      </c>
      <c r="H95" s="23" t="s">
        <v>21</v>
      </c>
      <c r="I95" s="17" t="s">
        <v>328</v>
      </c>
      <c r="J95" s="17" t="s">
        <v>1118</v>
      </c>
      <c r="K95" s="17" t="s">
        <v>760</v>
      </c>
      <c r="L95" s="17" t="s">
        <v>1119</v>
      </c>
      <c r="M95" s="17" t="s">
        <v>1120</v>
      </c>
      <c r="N95" s="17" t="s">
        <v>1121</v>
      </c>
      <c r="O95" s="17" t="s">
        <v>1078</v>
      </c>
      <c r="P95" s="17" t="s">
        <v>1122</v>
      </c>
      <c r="Q95" s="17" t="s">
        <v>1123</v>
      </c>
      <c r="R95" s="16" t="s">
        <v>65</v>
      </c>
      <c r="S95" s="16"/>
      <c r="T95" s="19" t="s">
        <v>1124</v>
      </c>
      <c r="U95" s="19" t="s">
        <v>67</v>
      </c>
    </row>
    <row r="96" customFormat="false" ht="96" hidden="false" customHeight="true" outlineLevel="0" collapsed="false">
      <c r="A96" s="16" t="n">
        <v>92</v>
      </c>
      <c r="B96" s="16" t="s">
        <v>1125</v>
      </c>
      <c r="C96" s="17" t="s">
        <v>1126</v>
      </c>
      <c r="D96" s="17" t="s">
        <v>1127</v>
      </c>
      <c r="E96" s="16" t="n">
        <v>2022</v>
      </c>
      <c r="F96" s="17" t="s">
        <v>71</v>
      </c>
      <c r="G96" s="16" t="s">
        <v>56</v>
      </c>
      <c r="H96" s="23" t="s">
        <v>21</v>
      </c>
      <c r="I96" s="17" t="s">
        <v>328</v>
      </c>
      <c r="J96" s="17" t="s">
        <v>73</v>
      </c>
      <c r="K96" s="17" t="s">
        <v>73</v>
      </c>
      <c r="L96" s="17" t="s">
        <v>1128</v>
      </c>
      <c r="M96" s="17" t="s">
        <v>1129</v>
      </c>
      <c r="N96" s="17" t="s">
        <v>76</v>
      </c>
      <c r="O96" s="17" t="s">
        <v>76</v>
      </c>
      <c r="P96" s="17" t="s">
        <v>1130</v>
      </c>
      <c r="Q96" s="17" t="s">
        <v>1131</v>
      </c>
      <c r="R96" s="16" t="s">
        <v>103</v>
      </c>
      <c r="S96" s="19" t="s">
        <v>1132</v>
      </c>
      <c r="T96" s="19" t="s">
        <v>1133</v>
      </c>
      <c r="U96" s="19" t="s">
        <v>67</v>
      </c>
    </row>
    <row r="97" customFormat="false" ht="96" hidden="false" customHeight="true" outlineLevel="0" collapsed="false">
      <c r="A97" s="16" t="n">
        <v>93</v>
      </c>
      <c r="B97" s="16" t="s">
        <v>1134</v>
      </c>
      <c r="C97" s="17" t="s">
        <v>1135</v>
      </c>
      <c r="D97" s="17" t="s">
        <v>1136</v>
      </c>
      <c r="E97" s="16" t="n">
        <v>2022</v>
      </c>
      <c r="F97" s="17" t="s">
        <v>1137</v>
      </c>
      <c r="G97" s="16" t="s">
        <v>148</v>
      </c>
      <c r="H97" s="21" t="s">
        <v>11</v>
      </c>
      <c r="I97" s="17" t="s">
        <v>125</v>
      </c>
      <c r="J97" s="17" t="s">
        <v>1138</v>
      </c>
      <c r="K97" s="17" t="s">
        <v>1139</v>
      </c>
      <c r="L97" s="17" t="s">
        <v>1140</v>
      </c>
      <c r="M97" s="17" t="s">
        <v>1141</v>
      </c>
      <c r="N97" s="17" t="s">
        <v>1142</v>
      </c>
      <c r="O97" s="17" t="s">
        <v>1143</v>
      </c>
      <c r="P97" s="17" t="s">
        <v>1144</v>
      </c>
      <c r="Q97" s="17" t="s">
        <v>1145</v>
      </c>
      <c r="R97" s="16" t="s">
        <v>103</v>
      </c>
      <c r="S97" s="19" t="s">
        <v>1146</v>
      </c>
      <c r="T97" s="19" t="s">
        <v>1147</v>
      </c>
      <c r="U97" s="19" t="s">
        <v>67</v>
      </c>
    </row>
    <row r="98" customFormat="false" ht="96" hidden="false" customHeight="true" outlineLevel="0" collapsed="false">
      <c r="A98" s="16" t="n">
        <v>94</v>
      </c>
      <c r="B98" s="16" t="s">
        <v>1148</v>
      </c>
      <c r="C98" s="17" t="s">
        <v>1149</v>
      </c>
      <c r="D98" s="17" t="s">
        <v>1150</v>
      </c>
      <c r="E98" s="16" t="n">
        <v>2022</v>
      </c>
      <c r="F98" s="17" t="s">
        <v>772</v>
      </c>
      <c r="G98" s="16" t="s">
        <v>84</v>
      </c>
      <c r="H98" s="21" t="s">
        <v>11</v>
      </c>
      <c r="I98" s="17" t="s">
        <v>125</v>
      </c>
      <c r="J98" s="17" t="s">
        <v>114</v>
      </c>
      <c r="K98" s="17" t="s">
        <v>1151</v>
      </c>
      <c r="L98" s="17" t="s">
        <v>1152</v>
      </c>
      <c r="M98" s="17" t="s">
        <v>1153</v>
      </c>
      <c r="N98" s="17" t="s">
        <v>1154</v>
      </c>
      <c r="O98" s="17" t="s">
        <v>1155</v>
      </c>
      <c r="P98" s="17" t="s">
        <v>1156</v>
      </c>
      <c r="Q98" s="17" t="s">
        <v>1157</v>
      </c>
      <c r="R98" s="16" t="s">
        <v>103</v>
      </c>
      <c r="S98" s="19" t="s">
        <v>1158</v>
      </c>
      <c r="T98" s="19" t="s">
        <v>1159</v>
      </c>
      <c r="U98" s="19" t="s">
        <v>67</v>
      </c>
    </row>
    <row r="99" customFormat="false" ht="96" hidden="false" customHeight="true" outlineLevel="0" collapsed="false">
      <c r="A99" s="16" t="n">
        <v>95</v>
      </c>
      <c r="B99" s="16" t="s">
        <v>1160</v>
      </c>
      <c r="C99" s="17" t="s">
        <v>1161</v>
      </c>
      <c r="D99" s="17" t="s">
        <v>1162</v>
      </c>
      <c r="E99" s="16" t="n">
        <v>2022</v>
      </c>
      <c r="F99" s="17" t="s">
        <v>1163</v>
      </c>
      <c r="G99" s="16" t="s">
        <v>1164</v>
      </c>
      <c r="H99" s="18" t="s">
        <v>23</v>
      </c>
      <c r="I99" s="17" t="s">
        <v>23</v>
      </c>
      <c r="J99" s="17" t="s">
        <v>114</v>
      </c>
      <c r="K99" s="17" t="s">
        <v>1165</v>
      </c>
      <c r="L99" s="17" t="s">
        <v>1166</v>
      </c>
      <c r="M99" s="17" t="s">
        <v>1167</v>
      </c>
      <c r="N99" s="17" t="s">
        <v>1168</v>
      </c>
      <c r="O99" s="17" t="s">
        <v>76</v>
      </c>
      <c r="P99" s="17" t="s">
        <v>1169</v>
      </c>
      <c r="Q99" s="17" t="s">
        <v>1170</v>
      </c>
      <c r="R99" s="16" t="s">
        <v>65</v>
      </c>
      <c r="S99" s="16"/>
      <c r="T99" s="19" t="s">
        <v>1171</v>
      </c>
      <c r="U99" s="19" t="s">
        <v>67</v>
      </c>
    </row>
    <row r="100" customFormat="false" ht="96" hidden="false" customHeight="true" outlineLevel="0" collapsed="false">
      <c r="A100" s="16" t="n">
        <v>96</v>
      </c>
      <c r="B100" s="16" t="s">
        <v>1172</v>
      </c>
      <c r="C100" s="17" t="s">
        <v>1173</v>
      </c>
      <c r="D100" s="17" t="s">
        <v>1174</v>
      </c>
      <c r="E100" s="16" t="n">
        <v>2022</v>
      </c>
      <c r="F100" s="17" t="s">
        <v>907</v>
      </c>
      <c r="G100" s="16" t="s">
        <v>148</v>
      </c>
      <c r="H100" s="21" t="s">
        <v>13</v>
      </c>
      <c r="I100" s="17" t="s">
        <v>125</v>
      </c>
      <c r="J100" s="17" t="s">
        <v>1175</v>
      </c>
      <c r="K100" s="17" t="s">
        <v>1097</v>
      </c>
      <c r="L100" s="17" t="s">
        <v>1176</v>
      </c>
      <c r="M100" s="17" t="s">
        <v>1177</v>
      </c>
      <c r="N100" s="17" t="s">
        <v>1178</v>
      </c>
      <c r="O100" s="17" t="s">
        <v>549</v>
      </c>
      <c r="P100" s="17" t="s">
        <v>1179</v>
      </c>
      <c r="Q100" s="17" t="s">
        <v>1180</v>
      </c>
      <c r="R100" s="16" t="s">
        <v>103</v>
      </c>
      <c r="S100" s="19" t="s">
        <v>1181</v>
      </c>
      <c r="T100" s="19" t="s">
        <v>1182</v>
      </c>
      <c r="U100" s="19" t="s">
        <v>67</v>
      </c>
    </row>
    <row r="101" customFormat="false" ht="96" hidden="false" customHeight="true" outlineLevel="0" collapsed="false">
      <c r="A101" s="16" t="n">
        <v>97</v>
      </c>
      <c r="B101" s="16" t="s">
        <v>1183</v>
      </c>
      <c r="C101" s="17" t="s">
        <v>1184</v>
      </c>
      <c r="D101" s="17" t="s">
        <v>1185</v>
      </c>
      <c r="E101" s="16" t="n">
        <v>2022</v>
      </c>
      <c r="F101" s="17" t="s">
        <v>1186</v>
      </c>
      <c r="G101" s="16" t="s">
        <v>148</v>
      </c>
      <c r="H101" s="21" t="s">
        <v>13</v>
      </c>
      <c r="I101" s="17" t="s">
        <v>125</v>
      </c>
      <c r="J101" s="17" t="s">
        <v>631</v>
      </c>
      <c r="K101" s="17" t="s">
        <v>1086</v>
      </c>
      <c r="L101" s="17" t="s">
        <v>1187</v>
      </c>
      <c r="M101" s="17" t="s">
        <v>1188</v>
      </c>
      <c r="N101" s="17" t="s">
        <v>1178</v>
      </c>
      <c r="O101" s="17" t="s">
        <v>549</v>
      </c>
      <c r="P101" s="17" t="s">
        <v>1189</v>
      </c>
      <c r="Q101" s="17" t="s">
        <v>1190</v>
      </c>
      <c r="R101" s="16" t="s">
        <v>103</v>
      </c>
      <c r="S101" s="19" t="s">
        <v>1191</v>
      </c>
      <c r="T101" s="19" t="s">
        <v>1192</v>
      </c>
      <c r="U101" s="19" t="s">
        <v>67</v>
      </c>
    </row>
    <row r="102" customFormat="false" ht="96" hidden="false" customHeight="true" outlineLevel="0" collapsed="false">
      <c r="A102" s="16" t="n">
        <v>98</v>
      </c>
      <c r="B102" s="16" t="s">
        <v>1193</v>
      </c>
      <c r="C102" s="17" t="s">
        <v>1194</v>
      </c>
      <c r="D102" s="17" t="s">
        <v>1195</v>
      </c>
      <c r="E102" s="16" t="n">
        <v>2022</v>
      </c>
      <c r="F102" s="17" t="s">
        <v>327</v>
      </c>
      <c r="G102" s="16" t="s">
        <v>148</v>
      </c>
      <c r="H102" s="18" t="s">
        <v>23</v>
      </c>
      <c r="I102" s="17" t="s">
        <v>23</v>
      </c>
      <c r="J102" s="17" t="s">
        <v>1196</v>
      </c>
      <c r="K102" s="17" t="s">
        <v>1197</v>
      </c>
      <c r="L102" s="17" t="s">
        <v>1198</v>
      </c>
      <c r="M102" s="17" t="s">
        <v>1199</v>
      </c>
      <c r="N102" s="17" t="s">
        <v>1200</v>
      </c>
      <c r="O102" s="17" t="s">
        <v>76</v>
      </c>
      <c r="P102" s="17" t="s">
        <v>1201</v>
      </c>
      <c r="Q102" s="17" t="s">
        <v>1202</v>
      </c>
      <c r="R102" s="16" t="s">
        <v>103</v>
      </c>
      <c r="S102" s="19" t="s">
        <v>1203</v>
      </c>
      <c r="T102" s="19" t="s">
        <v>1204</v>
      </c>
      <c r="U102" s="19" t="s">
        <v>67</v>
      </c>
    </row>
    <row r="103" customFormat="false" ht="96" hidden="false" customHeight="true" outlineLevel="0" collapsed="false">
      <c r="A103" s="16" t="n">
        <v>99</v>
      </c>
      <c r="B103" s="16" t="s">
        <v>1205</v>
      </c>
      <c r="C103" s="17" t="s">
        <v>1206</v>
      </c>
      <c r="D103" s="17" t="s">
        <v>1207</v>
      </c>
      <c r="E103" s="16" t="n">
        <v>2022</v>
      </c>
      <c r="F103" s="17" t="s">
        <v>1208</v>
      </c>
      <c r="G103" s="16" t="s">
        <v>84</v>
      </c>
      <c r="H103" s="24" t="s">
        <v>15</v>
      </c>
      <c r="I103" s="17" t="s">
        <v>592</v>
      </c>
      <c r="J103" s="17" t="s">
        <v>1209</v>
      </c>
      <c r="K103" s="17" t="s">
        <v>1210</v>
      </c>
      <c r="L103" s="17" t="s">
        <v>1211</v>
      </c>
      <c r="M103" s="17" t="s">
        <v>1212</v>
      </c>
      <c r="N103" s="17" t="s">
        <v>1213</v>
      </c>
      <c r="O103" s="17" t="s">
        <v>1214</v>
      </c>
      <c r="P103" s="17" t="s">
        <v>1215</v>
      </c>
      <c r="Q103" s="17" t="s">
        <v>1216</v>
      </c>
      <c r="R103" s="16" t="s">
        <v>65</v>
      </c>
      <c r="S103" s="16"/>
      <c r="T103" s="19" t="s">
        <v>1217</v>
      </c>
      <c r="U103" s="19" t="s">
        <v>67</v>
      </c>
    </row>
    <row r="104" customFormat="false" ht="96" hidden="false" customHeight="true" outlineLevel="0" collapsed="false">
      <c r="A104" s="16" t="n">
        <v>100</v>
      </c>
      <c r="B104" s="16" t="s">
        <v>1218</v>
      </c>
      <c r="C104" s="17" t="s">
        <v>1219</v>
      </c>
      <c r="D104" s="17" t="s">
        <v>1220</v>
      </c>
      <c r="E104" s="16" t="n">
        <v>2022</v>
      </c>
      <c r="F104" s="17" t="s">
        <v>1221</v>
      </c>
      <c r="G104" s="16" t="s">
        <v>84</v>
      </c>
      <c r="H104" s="25" t="s">
        <v>7</v>
      </c>
      <c r="I104" s="17" t="s">
        <v>811</v>
      </c>
      <c r="J104" s="17" t="s">
        <v>1222</v>
      </c>
      <c r="K104" s="17" t="s">
        <v>1223</v>
      </c>
      <c r="L104" s="17" t="s">
        <v>1224</v>
      </c>
      <c r="M104" s="17" t="s">
        <v>1225</v>
      </c>
      <c r="N104" s="17" t="s">
        <v>1226</v>
      </c>
      <c r="O104" s="17" t="s">
        <v>1227</v>
      </c>
      <c r="P104" s="17" t="s">
        <v>1228</v>
      </c>
      <c r="Q104" s="17" t="s">
        <v>1229</v>
      </c>
      <c r="R104" s="16" t="s">
        <v>65</v>
      </c>
      <c r="S104" s="16"/>
      <c r="T104" s="19" t="s">
        <v>1230</v>
      </c>
      <c r="U104" s="19" t="s">
        <v>67</v>
      </c>
    </row>
    <row r="105" customFormat="false" ht="96" hidden="false" customHeight="true" outlineLevel="0" collapsed="false">
      <c r="A105" s="16" t="n">
        <v>101</v>
      </c>
      <c r="B105" s="16" t="s">
        <v>1231</v>
      </c>
      <c r="C105" s="17" t="s">
        <v>1232</v>
      </c>
      <c r="D105" s="17" t="s">
        <v>1233</v>
      </c>
      <c r="E105" s="16" t="n">
        <v>2022</v>
      </c>
      <c r="F105" s="17" t="s">
        <v>198</v>
      </c>
      <c r="G105" s="16" t="s">
        <v>199</v>
      </c>
      <c r="H105" s="24" t="s">
        <v>15</v>
      </c>
      <c r="I105" s="17" t="s">
        <v>592</v>
      </c>
      <c r="J105" s="17" t="s">
        <v>593</v>
      </c>
      <c r="K105" s="17" t="s">
        <v>1234</v>
      </c>
      <c r="L105" s="17" t="s">
        <v>1235</v>
      </c>
      <c r="M105" s="17" t="s">
        <v>1236</v>
      </c>
      <c r="N105" s="17" t="s">
        <v>1237</v>
      </c>
      <c r="O105" s="17" t="s">
        <v>334</v>
      </c>
      <c r="P105" s="17" t="s">
        <v>1238</v>
      </c>
      <c r="Q105" s="17" t="s">
        <v>1239</v>
      </c>
      <c r="R105" s="16" t="s">
        <v>103</v>
      </c>
      <c r="S105" s="19" t="s">
        <v>600</v>
      </c>
      <c r="T105" s="19" t="s">
        <v>1240</v>
      </c>
      <c r="U105" s="19" t="s">
        <v>67</v>
      </c>
    </row>
    <row r="106" customFormat="false" ht="96" hidden="false" customHeight="true" outlineLevel="0" collapsed="false">
      <c r="A106" s="16" t="n">
        <v>102</v>
      </c>
      <c r="B106" s="16" t="s">
        <v>1241</v>
      </c>
      <c r="C106" s="17" t="s">
        <v>1242</v>
      </c>
      <c r="D106" s="17" t="s">
        <v>1243</v>
      </c>
      <c r="E106" s="16" t="n">
        <v>2022</v>
      </c>
      <c r="F106" s="17" t="s">
        <v>388</v>
      </c>
      <c r="G106" s="16" t="s">
        <v>148</v>
      </c>
      <c r="H106" s="23" t="s">
        <v>19</v>
      </c>
      <c r="I106" s="17" t="s">
        <v>328</v>
      </c>
      <c r="J106" s="17" t="s">
        <v>1244</v>
      </c>
      <c r="K106" s="17" t="s">
        <v>1245</v>
      </c>
      <c r="L106" s="17" t="s">
        <v>1246</v>
      </c>
      <c r="M106" s="17" t="s">
        <v>1247</v>
      </c>
      <c r="N106" s="17" t="s">
        <v>1248</v>
      </c>
      <c r="O106" s="17" t="s">
        <v>334</v>
      </c>
      <c r="P106" s="17" t="s">
        <v>1249</v>
      </c>
      <c r="Q106" s="17" t="s">
        <v>1250</v>
      </c>
      <c r="R106" s="16" t="s">
        <v>103</v>
      </c>
      <c r="S106" s="19" t="s">
        <v>1251</v>
      </c>
      <c r="T106" s="19" t="s">
        <v>1252</v>
      </c>
      <c r="U106" s="19" t="s">
        <v>67</v>
      </c>
    </row>
    <row r="107" customFormat="false" ht="96" hidden="false" customHeight="true" outlineLevel="0" collapsed="false">
      <c r="A107" s="16" t="n">
        <v>103</v>
      </c>
      <c r="B107" s="16" t="s">
        <v>1253</v>
      </c>
      <c r="C107" s="17" t="s">
        <v>1254</v>
      </c>
      <c r="D107" s="17" t="s">
        <v>1255</v>
      </c>
      <c r="E107" s="16" t="n">
        <v>2022</v>
      </c>
      <c r="F107" s="17" t="s">
        <v>388</v>
      </c>
      <c r="G107" s="16" t="s">
        <v>148</v>
      </c>
      <c r="H107" s="23" t="s">
        <v>19</v>
      </c>
      <c r="I107" s="17" t="s">
        <v>328</v>
      </c>
      <c r="J107" s="17" t="s">
        <v>1256</v>
      </c>
      <c r="K107" s="17" t="s">
        <v>1245</v>
      </c>
      <c r="L107" s="17" t="s">
        <v>1257</v>
      </c>
      <c r="M107" s="17" t="s">
        <v>1258</v>
      </c>
      <c r="N107" s="17" t="s">
        <v>1248</v>
      </c>
      <c r="O107" s="17" t="s">
        <v>334</v>
      </c>
      <c r="P107" s="17" t="s">
        <v>1259</v>
      </c>
      <c r="Q107" s="17" t="s">
        <v>1260</v>
      </c>
      <c r="R107" s="16" t="s">
        <v>65</v>
      </c>
      <c r="S107" s="16"/>
      <c r="T107" s="19" t="s">
        <v>1261</v>
      </c>
      <c r="U107" s="19" t="s">
        <v>67</v>
      </c>
    </row>
    <row r="108" customFormat="false" ht="96" hidden="false" customHeight="true" outlineLevel="0" collapsed="false">
      <c r="A108" s="16" t="n">
        <v>104</v>
      </c>
      <c r="B108" s="16" t="s">
        <v>1262</v>
      </c>
      <c r="C108" s="17" t="s">
        <v>1263</v>
      </c>
      <c r="D108" s="17" t="s">
        <v>1264</v>
      </c>
      <c r="E108" s="16" t="n">
        <v>2022</v>
      </c>
      <c r="F108" s="17" t="s">
        <v>1163</v>
      </c>
      <c r="G108" s="16" t="s">
        <v>1164</v>
      </c>
      <c r="H108" s="24" t="s">
        <v>15</v>
      </c>
      <c r="I108" s="17" t="s">
        <v>592</v>
      </c>
      <c r="J108" s="17" t="s">
        <v>1265</v>
      </c>
      <c r="K108" s="17" t="s">
        <v>1266</v>
      </c>
      <c r="L108" s="17" t="s">
        <v>1267</v>
      </c>
      <c r="M108" s="17" t="s">
        <v>1268</v>
      </c>
      <c r="N108" s="17" t="s">
        <v>1269</v>
      </c>
      <c r="O108" s="17" t="s">
        <v>1270</v>
      </c>
      <c r="P108" s="17" t="s">
        <v>1271</v>
      </c>
      <c r="Q108" s="17" t="s">
        <v>1272</v>
      </c>
      <c r="R108" s="16" t="s">
        <v>103</v>
      </c>
      <c r="S108" s="19" t="s">
        <v>1273</v>
      </c>
      <c r="T108" s="19" t="s">
        <v>1274</v>
      </c>
      <c r="U108" s="19" t="s">
        <v>67</v>
      </c>
    </row>
    <row r="109" customFormat="false" ht="96" hidden="false" customHeight="true" outlineLevel="0" collapsed="false">
      <c r="A109" s="16" t="n">
        <v>105</v>
      </c>
      <c r="B109" s="16" t="s">
        <v>1275</v>
      </c>
      <c r="C109" s="17" t="s">
        <v>1276</v>
      </c>
      <c r="D109" s="17" t="s">
        <v>641</v>
      </c>
      <c r="E109" s="16" t="n">
        <v>2022</v>
      </c>
      <c r="F109" s="17" t="s">
        <v>1277</v>
      </c>
      <c r="G109" s="16" t="s">
        <v>1164</v>
      </c>
      <c r="H109" s="24" t="s">
        <v>15</v>
      </c>
      <c r="I109" s="17" t="s">
        <v>592</v>
      </c>
      <c r="J109" s="17" t="s">
        <v>57</v>
      </c>
      <c r="K109" s="17" t="s">
        <v>1278</v>
      </c>
      <c r="L109" s="17" t="s">
        <v>1279</v>
      </c>
      <c r="M109" s="17" t="s">
        <v>1280</v>
      </c>
      <c r="N109" s="17" t="s">
        <v>1281</v>
      </c>
      <c r="O109" s="17" t="s">
        <v>1282</v>
      </c>
      <c r="P109" s="17" t="s">
        <v>1283</v>
      </c>
      <c r="Q109" s="17" t="s">
        <v>1284</v>
      </c>
      <c r="R109" s="16" t="s">
        <v>65</v>
      </c>
      <c r="S109" s="16"/>
      <c r="T109" s="19" t="s">
        <v>1285</v>
      </c>
      <c r="U109" s="19" t="s">
        <v>67</v>
      </c>
    </row>
    <row r="110" customFormat="false" ht="96" hidden="false" customHeight="true" outlineLevel="0" collapsed="false">
      <c r="A110" s="16" t="n">
        <v>106</v>
      </c>
      <c r="B110" s="16" t="s">
        <v>1286</v>
      </c>
      <c r="C110" s="17" t="s">
        <v>1287</v>
      </c>
      <c r="D110" s="17" t="s">
        <v>1288</v>
      </c>
      <c r="E110" s="16" t="n">
        <v>2022</v>
      </c>
      <c r="F110" s="17" t="s">
        <v>1289</v>
      </c>
      <c r="G110" s="16" t="s">
        <v>162</v>
      </c>
      <c r="H110" s="24" t="s">
        <v>15</v>
      </c>
      <c r="I110" s="17" t="s">
        <v>592</v>
      </c>
      <c r="J110" s="17" t="s">
        <v>1290</v>
      </c>
      <c r="K110" s="17" t="s">
        <v>1109</v>
      </c>
      <c r="L110" s="17" t="s">
        <v>1291</v>
      </c>
      <c r="M110" s="17" t="s">
        <v>1292</v>
      </c>
      <c r="N110" s="17" t="s">
        <v>1293</v>
      </c>
      <c r="O110" s="17" t="s">
        <v>76</v>
      </c>
      <c r="P110" s="17" t="s">
        <v>1294</v>
      </c>
      <c r="Q110" s="17" t="s">
        <v>1295</v>
      </c>
      <c r="R110" s="16" t="s">
        <v>65</v>
      </c>
      <c r="S110" s="16"/>
      <c r="T110" s="19" t="s">
        <v>1296</v>
      </c>
      <c r="U110" s="19" t="s">
        <v>67</v>
      </c>
    </row>
    <row r="111" customFormat="false" ht="96" hidden="false" customHeight="true" outlineLevel="0" collapsed="false">
      <c r="A111" s="16" t="n">
        <v>107</v>
      </c>
      <c r="B111" s="16" t="s">
        <v>1297</v>
      </c>
      <c r="C111" s="17" t="s">
        <v>1298</v>
      </c>
      <c r="D111" s="17" t="s">
        <v>1299</v>
      </c>
      <c r="E111" s="16" t="n">
        <v>2022</v>
      </c>
      <c r="F111" s="17" t="s">
        <v>1300</v>
      </c>
      <c r="G111" s="16" t="s">
        <v>84</v>
      </c>
      <c r="H111" s="25" t="s">
        <v>7</v>
      </c>
      <c r="I111" s="17" t="s">
        <v>811</v>
      </c>
      <c r="J111" s="17" t="s">
        <v>97</v>
      </c>
      <c r="K111" s="17" t="s">
        <v>1301</v>
      </c>
      <c r="L111" s="17" t="s">
        <v>1302</v>
      </c>
      <c r="M111" s="17" t="s">
        <v>1303</v>
      </c>
      <c r="N111" s="17" t="s">
        <v>1304</v>
      </c>
      <c r="O111" s="17" t="s">
        <v>1305</v>
      </c>
      <c r="P111" s="17" t="s">
        <v>1306</v>
      </c>
      <c r="Q111" s="17" t="s">
        <v>1307</v>
      </c>
      <c r="R111" s="16" t="s">
        <v>65</v>
      </c>
      <c r="S111" s="16"/>
      <c r="T111" s="19" t="s">
        <v>1308</v>
      </c>
      <c r="U111" s="19" t="s">
        <v>67</v>
      </c>
    </row>
    <row r="112" customFormat="false" ht="96" hidden="false" customHeight="true" outlineLevel="0" collapsed="false">
      <c r="A112" s="16" t="n">
        <v>108</v>
      </c>
      <c r="B112" s="16" t="s">
        <v>1309</v>
      </c>
      <c r="C112" s="17" t="s">
        <v>1310</v>
      </c>
      <c r="D112" s="17" t="s">
        <v>1311</v>
      </c>
      <c r="E112" s="16" t="n">
        <v>2022</v>
      </c>
      <c r="F112" s="17" t="s">
        <v>772</v>
      </c>
      <c r="G112" s="16" t="s">
        <v>84</v>
      </c>
      <c r="H112" s="21" t="s">
        <v>11</v>
      </c>
      <c r="I112" s="17" t="s">
        <v>125</v>
      </c>
      <c r="J112" s="17" t="s">
        <v>1312</v>
      </c>
      <c r="K112" s="17" t="s">
        <v>1313</v>
      </c>
      <c r="L112" s="17" t="s">
        <v>1314</v>
      </c>
      <c r="M112" s="17" t="s">
        <v>1315</v>
      </c>
      <c r="N112" s="17" t="s">
        <v>1316</v>
      </c>
      <c r="O112" s="17" t="s">
        <v>1317</v>
      </c>
      <c r="P112" s="17" t="s">
        <v>1318</v>
      </c>
      <c r="Q112" s="17" t="s">
        <v>1319</v>
      </c>
      <c r="R112" s="16" t="s">
        <v>103</v>
      </c>
      <c r="S112" s="19" t="s">
        <v>1320</v>
      </c>
      <c r="T112" s="19" t="s">
        <v>1321</v>
      </c>
      <c r="U112" s="19" t="s">
        <v>67</v>
      </c>
    </row>
    <row r="113" customFormat="false" ht="96" hidden="false" customHeight="true" outlineLevel="0" collapsed="false">
      <c r="A113" s="16" t="n">
        <v>109</v>
      </c>
      <c r="B113" s="16" t="s">
        <v>1322</v>
      </c>
      <c r="C113" s="17" t="s">
        <v>1323</v>
      </c>
      <c r="D113" s="17" t="s">
        <v>1324</v>
      </c>
      <c r="E113" s="16" t="n">
        <v>2022</v>
      </c>
      <c r="F113" s="17" t="s">
        <v>388</v>
      </c>
      <c r="G113" s="16" t="s">
        <v>148</v>
      </c>
      <c r="H113" s="24" t="s">
        <v>15</v>
      </c>
      <c r="I113" s="17" t="s">
        <v>592</v>
      </c>
      <c r="J113" s="17" t="s">
        <v>1325</v>
      </c>
      <c r="K113" s="17" t="s">
        <v>1326</v>
      </c>
      <c r="L113" s="17" t="s">
        <v>1327</v>
      </c>
      <c r="M113" s="17" t="s">
        <v>1328</v>
      </c>
      <c r="N113" s="17" t="s">
        <v>1329</v>
      </c>
      <c r="O113" s="17" t="s">
        <v>334</v>
      </c>
      <c r="P113" s="17" t="s">
        <v>1330</v>
      </c>
      <c r="Q113" s="17" t="s">
        <v>1331</v>
      </c>
      <c r="R113" s="16" t="s">
        <v>65</v>
      </c>
      <c r="S113" s="16"/>
      <c r="T113" s="19" t="s">
        <v>1332</v>
      </c>
      <c r="U113" s="19" t="s">
        <v>67</v>
      </c>
    </row>
    <row r="114" customFormat="false" ht="96" hidden="false" customHeight="true" outlineLevel="0" collapsed="false">
      <c r="A114" s="16" t="n">
        <v>110</v>
      </c>
      <c r="B114" s="16" t="s">
        <v>1333</v>
      </c>
      <c r="C114" s="17" t="s">
        <v>1334</v>
      </c>
      <c r="D114" s="17" t="s">
        <v>1335</v>
      </c>
      <c r="E114" s="16" t="n">
        <v>2022</v>
      </c>
      <c r="F114" s="17" t="s">
        <v>350</v>
      </c>
      <c r="G114" s="16" t="s">
        <v>199</v>
      </c>
      <c r="H114" s="24" t="s">
        <v>15</v>
      </c>
      <c r="I114" s="17" t="s">
        <v>592</v>
      </c>
      <c r="J114" s="17" t="s">
        <v>1325</v>
      </c>
      <c r="K114" s="17" t="s">
        <v>1336</v>
      </c>
      <c r="L114" s="17" t="s">
        <v>1337</v>
      </c>
      <c r="M114" s="17" t="s">
        <v>1338</v>
      </c>
      <c r="N114" s="17" t="s">
        <v>1339</v>
      </c>
      <c r="O114" s="17" t="s">
        <v>334</v>
      </c>
      <c r="P114" s="17" t="s">
        <v>1340</v>
      </c>
      <c r="Q114" s="17" t="s">
        <v>1341</v>
      </c>
      <c r="R114" s="16" t="s">
        <v>103</v>
      </c>
      <c r="S114" s="19" t="s">
        <v>600</v>
      </c>
      <c r="T114" s="19" t="s">
        <v>1342</v>
      </c>
      <c r="U114" s="19" t="s">
        <v>67</v>
      </c>
    </row>
    <row r="115" customFormat="false" ht="96" hidden="false" customHeight="true" outlineLevel="0" collapsed="false">
      <c r="A115" s="16" t="n">
        <v>111</v>
      </c>
      <c r="B115" s="16" t="s">
        <v>1343</v>
      </c>
      <c r="C115" s="17" t="s">
        <v>1344</v>
      </c>
      <c r="D115" s="17" t="s">
        <v>1345</v>
      </c>
      <c r="E115" s="16" t="n">
        <v>2022</v>
      </c>
      <c r="F115" s="17" t="s">
        <v>209</v>
      </c>
      <c r="G115" s="16" t="s">
        <v>199</v>
      </c>
      <c r="H115" s="21" t="s">
        <v>11</v>
      </c>
      <c r="I115" s="17" t="s">
        <v>125</v>
      </c>
      <c r="J115" s="17" t="s">
        <v>1346</v>
      </c>
      <c r="K115" s="17" t="s">
        <v>1347</v>
      </c>
      <c r="L115" s="17" t="s">
        <v>1348</v>
      </c>
      <c r="M115" s="17" t="s">
        <v>1349</v>
      </c>
      <c r="N115" s="17" t="s">
        <v>1350</v>
      </c>
      <c r="O115" s="17" t="s">
        <v>380</v>
      </c>
      <c r="P115" s="17" t="s">
        <v>1351</v>
      </c>
      <c r="Q115" s="17" t="s">
        <v>1352</v>
      </c>
      <c r="R115" s="16" t="s">
        <v>103</v>
      </c>
      <c r="S115" s="19" t="s">
        <v>1353</v>
      </c>
      <c r="T115" s="19" t="s">
        <v>1354</v>
      </c>
      <c r="U115" s="19" t="s">
        <v>67</v>
      </c>
    </row>
    <row r="116" customFormat="false" ht="96" hidden="false" customHeight="true" outlineLevel="0" collapsed="false">
      <c r="A116" s="16" t="n">
        <v>112</v>
      </c>
      <c r="B116" s="16" t="s">
        <v>1355</v>
      </c>
      <c r="C116" s="17" t="s">
        <v>1356</v>
      </c>
      <c r="D116" s="17" t="s">
        <v>1357</v>
      </c>
      <c r="E116" s="16" t="n">
        <v>2022</v>
      </c>
      <c r="F116" s="17" t="s">
        <v>327</v>
      </c>
      <c r="G116" s="16" t="s">
        <v>148</v>
      </c>
      <c r="H116" s="21" t="s">
        <v>13</v>
      </c>
      <c r="I116" s="17" t="s">
        <v>125</v>
      </c>
      <c r="J116" s="17" t="s">
        <v>631</v>
      </c>
      <c r="K116" s="17" t="s">
        <v>1358</v>
      </c>
      <c r="L116" s="17" t="s">
        <v>1359</v>
      </c>
      <c r="M116" s="17" t="s">
        <v>1360</v>
      </c>
      <c r="N116" s="17" t="s">
        <v>1361</v>
      </c>
      <c r="O116" s="17" t="s">
        <v>1362</v>
      </c>
      <c r="P116" s="17" t="s">
        <v>1363</v>
      </c>
      <c r="Q116" s="17" t="s">
        <v>1364</v>
      </c>
      <c r="R116" s="16" t="s">
        <v>103</v>
      </c>
      <c r="S116" s="19" t="s">
        <v>1365</v>
      </c>
      <c r="T116" s="19" t="s">
        <v>1366</v>
      </c>
      <c r="U116" s="19" t="s">
        <v>67</v>
      </c>
    </row>
    <row r="117" customFormat="false" ht="96" hidden="false" customHeight="true" outlineLevel="0" collapsed="false">
      <c r="A117" s="16" t="n">
        <v>113</v>
      </c>
      <c r="B117" s="16" t="s">
        <v>1367</v>
      </c>
      <c r="C117" s="17" t="s">
        <v>1368</v>
      </c>
      <c r="D117" s="17" t="s">
        <v>1369</v>
      </c>
      <c r="E117" s="16" t="n">
        <v>2022</v>
      </c>
      <c r="F117" s="17" t="s">
        <v>1277</v>
      </c>
      <c r="G117" s="16" t="s">
        <v>1164</v>
      </c>
      <c r="H117" s="23" t="s">
        <v>19</v>
      </c>
      <c r="I117" s="17" t="s">
        <v>328</v>
      </c>
      <c r="J117" s="17" t="s">
        <v>1370</v>
      </c>
      <c r="K117" s="17" t="s">
        <v>1371</v>
      </c>
      <c r="L117" s="17" t="s">
        <v>1372</v>
      </c>
      <c r="M117" s="17" t="s">
        <v>1373</v>
      </c>
      <c r="N117" s="17" t="s">
        <v>1374</v>
      </c>
      <c r="O117" s="17" t="s">
        <v>334</v>
      </c>
      <c r="P117" s="17" t="s">
        <v>1375</v>
      </c>
      <c r="Q117" s="17" t="s">
        <v>1376</v>
      </c>
      <c r="R117" s="16" t="s">
        <v>103</v>
      </c>
      <c r="S117" s="19" t="s">
        <v>1377</v>
      </c>
      <c r="T117" s="19" t="s">
        <v>1378</v>
      </c>
      <c r="U117" s="19" t="s">
        <v>67</v>
      </c>
    </row>
    <row r="118" customFormat="false" ht="96" hidden="false" customHeight="true" outlineLevel="0" collapsed="false">
      <c r="A118" s="16" t="n">
        <v>114</v>
      </c>
      <c r="B118" s="16" t="s">
        <v>1379</v>
      </c>
      <c r="C118" s="17" t="s">
        <v>1380</v>
      </c>
      <c r="D118" s="17" t="s">
        <v>712</v>
      </c>
      <c r="E118" s="16" t="n">
        <v>2022</v>
      </c>
      <c r="F118" s="17" t="s">
        <v>1163</v>
      </c>
      <c r="G118" s="16" t="s">
        <v>1164</v>
      </c>
      <c r="H118" s="24" t="s">
        <v>15</v>
      </c>
      <c r="I118" s="17" t="s">
        <v>592</v>
      </c>
      <c r="J118" s="17" t="s">
        <v>57</v>
      </c>
      <c r="K118" s="17" t="s">
        <v>1381</v>
      </c>
      <c r="L118" s="17" t="s">
        <v>1382</v>
      </c>
      <c r="M118" s="17" t="s">
        <v>1383</v>
      </c>
      <c r="N118" s="17" t="s">
        <v>1384</v>
      </c>
      <c r="O118" s="17" t="s">
        <v>1385</v>
      </c>
      <c r="P118" s="17" t="s">
        <v>1386</v>
      </c>
      <c r="Q118" s="17" t="s">
        <v>1387</v>
      </c>
      <c r="R118" s="16" t="s">
        <v>103</v>
      </c>
      <c r="S118" s="19" t="s">
        <v>1388</v>
      </c>
      <c r="T118" s="19" t="s">
        <v>1389</v>
      </c>
      <c r="U118" s="19" t="s">
        <v>67</v>
      </c>
    </row>
    <row r="119" customFormat="false" ht="96" hidden="false" customHeight="true" outlineLevel="0" collapsed="false">
      <c r="A119" s="16" t="n">
        <v>115</v>
      </c>
      <c r="B119" s="16" t="s">
        <v>1390</v>
      </c>
      <c r="C119" s="17" t="s">
        <v>1391</v>
      </c>
      <c r="D119" s="17" t="s">
        <v>1392</v>
      </c>
      <c r="E119" s="16" t="n">
        <v>2022</v>
      </c>
      <c r="F119" s="17" t="s">
        <v>445</v>
      </c>
      <c r="G119" s="16" t="s">
        <v>446</v>
      </c>
      <c r="H119" s="21" t="s">
        <v>11</v>
      </c>
      <c r="I119" s="17" t="s">
        <v>125</v>
      </c>
      <c r="J119" s="17" t="s">
        <v>1393</v>
      </c>
      <c r="K119" s="17" t="s">
        <v>1394</v>
      </c>
      <c r="L119" s="17" t="s">
        <v>1395</v>
      </c>
      <c r="M119" s="17" t="s">
        <v>1396</v>
      </c>
      <c r="N119" s="17" t="s">
        <v>1397</v>
      </c>
      <c r="O119" s="17" t="s">
        <v>549</v>
      </c>
      <c r="P119" s="17" t="s">
        <v>1398</v>
      </c>
      <c r="Q119" s="17" t="s">
        <v>1399</v>
      </c>
      <c r="R119" s="16" t="s">
        <v>65</v>
      </c>
      <c r="S119" s="16"/>
      <c r="T119" s="19" t="s">
        <v>1400</v>
      </c>
      <c r="U119" s="19" t="s">
        <v>67</v>
      </c>
    </row>
    <row r="120" customFormat="false" ht="96" hidden="false" customHeight="true" outlineLevel="0" collapsed="false">
      <c r="A120" s="16" t="n">
        <v>116</v>
      </c>
      <c r="B120" s="16" t="s">
        <v>1401</v>
      </c>
      <c r="C120" s="17" t="s">
        <v>1402</v>
      </c>
      <c r="D120" s="17" t="s">
        <v>1403</v>
      </c>
      <c r="E120" s="16" t="n">
        <v>2021</v>
      </c>
      <c r="F120" s="17" t="s">
        <v>1404</v>
      </c>
      <c r="G120" s="16" t="s">
        <v>56</v>
      </c>
      <c r="H120" s="20" t="s">
        <v>25</v>
      </c>
      <c r="I120" s="17" t="s">
        <v>72</v>
      </c>
      <c r="J120" s="17" t="s">
        <v>1405</v>
      </c>
      <c r="K120" s="17" t="s">
        <v>1109</v>
      </c>
      <c r="L120" s="17" t="s">
        <v>1406</v>
      </c>
      <c r="M120" s="17" t="s">
        <v>1407</v>
      </c>
      <c r="N120" s="17" t="s">
        <v>76</v>
      </c>
      <c r="O120" s="17" t="s">
        <v>76</v>
      </c>
      <c r="P120" s="17" t="s">
        <v>1408</v>
      </c>
      <c r="Q120" s="17" t="s">
        <v>1409</v>
      </c>
      <c r="R120" s="16" t="s">
        <v>65</v>
      </c>
      <c r="S120" s="16"/>
      <c r="T120" s="19" t="s">
        <v>1410</v>
      </c>
      <c r="U120" s="19" t="s">
        <v>67</v>
      </c>
    </row>
    <row r="121" customFormat="false" ht="96" hidden="false" customHeight="true" outlineLevel="0" collapsed="false">
      <c r="A121" s="16" t="n">
        <v>117</v>
      </c>
      <c r="B121" s="16" t="s">
        <v>1411</v>
      </c>
      <c r="C121" s="17" t="s">
        <v>1412</v>
      </c>
      <c r="D121" s="17" t="s">
        <v>1413</v>
      </c>
      <c r="E121" s="16" t="n">
        <v>2021</v>
      </c>
      <c r="F121" s="17" t="s">
        <v>1414</v>
      </c>
      <c r="G121" s="16" t="s">
        <v>148</v>
      </c>
      <c r="H121" s="21" t="s">
        <v>11</v>
      </c>
      <c r="I121" s="17" t="s">
        <v>125</v>
      </c>
      <c r="J121" s="17" t="s">
        <v>85</v>
      </c>
      <c r="K121" s="17" t="s">
        <v>1415</v>
      </c>
      <c r="L121" s="17" t="s">
        <v>1416</v>
      </c>
      <c r="M121" s="17" t="s">
        <v>1417</v>
      </c>
      <c r="N121" s="17" t="s">
        <v>1418</v>
      </c>
      <c r="O121" s="17" t="s">
        <v>1419</v>
      </c>
      <c r="P121" s="17" t="s">
        <v>1420</v>
      </c>
      <c r="Q121" s="17" t="s">
        <v>1421</v>
      </c>
      <c r="R121" s="16" t="s">
        <v>103</v>
      </c>
      <c r="S121" s="19" t="s">
        <v>1422</v>
      </c>
      <c r="T121" s="19" t="s">
        <v>1423</v>
      </c>
      <c r="U121" s="19" t="s">
        <v>67</v>
      </c>
    </row>
    <row r="122" customFormat="false" ht="96" hidden="false" customHeight="true" outlineLevel="0" collapsed="false">
      <c r="A122" s="16" t="n">
        <v>118</v>
      </c>
      <c r="B122" s="16" t="s">
        <v>1424</v>
      </c>
      <c r="C122" s="17" t="s">
        <v>1425</v>
      </c>
      <c r="D122" s="17" t="s">
        <v>1426</v>
      </c>
      <c r="E122" s="16" t="n">
        <v>2021</v>
      </c>
      <c r="F122" s="17" t="s">
        <v>907</v>
      </c>
      <c r="G122" s="16" t="s">
        <v>148</v>
      </c>
      <c r="H122" s="21" t="s">
        <v>13</v>
      </c>
      <c r="I122" s="17" t="s">
        <v>125</v>
      </c>
      <c r="J122" s="17" t="s">
        <v>1427</v>
      </c>
      <c r="K122" s="17" t="s">
        <v>1428</v>
      </c>
      <c r="L122" s="17" t="s">
        <v>1429</v>
      </c>
      <c r="M122" s="17" t="s">
        <v>1430</v>
      </c>
      <c r="N122" s="17" t="s">
        <v>1178</v>
      </c>
      <c r="O122" s="17" t="s">
        <v>549</v>
      </c>
      <c r="P122" s="17" t="s">
        <v>1431</v>
      </c>
      <c r="Q122" s="17" t="s">
        <v>1432</v>
      </c>
      <c r="R122" s="16" t="s">
        <v>103</v>
      </c>
      <c r="S122" s="19" t="s">
        <v>1433</v>
      </c>
      <c r="T122" s="19" t="s">
        <v>1434</v>
      </c>
      <c r="U122" s="19" t="s">
        <v>67</v>
      </c>
    </row>
    <row r="123" customFormat="false" ht="96" hidden="false" customHeight="true" outlineLevel="0" collapsed="false">
      <c r="A123" s="16" t="n">
        <v>119</v>
      </c>
      <c r="B123" s="16" t="s">
        <v>1435</v>
      </c>
      <c r="C123" s="17" t="s">
        <v>1436</v>
      </c>
      <c r="D123" s="17" t="s">
        <v>1437</v>
      </c>
      <c r="E123" s="16" t="n">
        <v>2021</v>
      </c>
      <c r="F123" s="17" t="s">
        <v>71</v>
      </c>
      <c r="G123" s="16" t="s">
        <v>56</v>
      </c>
      <c r="H123" s="25" t="s">
        <v>7</v>
      </c>
      <c r="I123" s="17" t="s">
        <v>811</v>
      </c>
      <c r="J123" s="17" t="s">
        <v>447</v>
      </c>
      <c r="K123" s="17" t="s">
        <v>1438</v>
      </c>
      <c r="L123" s="17" t="s">
        <v>1439</v>
      </c>
      <c r="M123" s="17" t="s">
        <v>1440</v>
      </c>
      <c r="N123" s="17" t="s">
        <v>1304</v>
      </c>
      <c r="O123" s="17" t="s">
        <v>1441</v>
      </c>
      <c r="P123" s="17" t="s">
        <v>1442</v>
      </c>
      <c r="Q123" s="17" t="s">
        <v>1443</v>
      </c>
      <c r="R123" s="16" t="s">
        <v>65</v>
      </c>
      <c r="S123" s="16"/>
      <c r="T123" s="19" t="s">
        <v>1444</v>
      </c>
      <c r="U123" s="19" t="s">
        <v>67</v>
      </c>
    </row>
    <row r="124" customFormat="false" ht="96" hidden="false" customHeight="true" outlineLevel="0" collapsed="false">
      <c r="A124" s="16" t="n">
        <v>120</v>
      </c>
      <c r="B124" s="16" t="s">
        <v>1445</v>
      </c>
      <c r="C124" s="17" t="s">
        <v>1446</v>
      </c>
      <c r="D124" s="17" t="s">
        <v>1447</v>
      </c>
      <c r="E124" s="16" t="n">
        <v>2021</v>
      </c>
      <c r="F124" s="17" t="s">
        <v>1448</v>
      </c>
      <c r="G124" s="16" t="s">
        <v>162</v>
      </c>
      <c r="H124" s="20" t="s">
        <v>25</v>
      </c>
      <c r="I124" s="17" t="s">
        <v>72</v>
      </c>
      <c r="J124" s="17" t="s">
        <v>1449</v>
      </c>
      <c r="K124" s="17" t="s">
        <v>1109</v>
      </c>
      <c r="L124" s="17" t="s">
        <v>1450</v>
      </c>
      <c r="M124" s="17" t="s">
        <v>1451</v>
      </c>
      <c r="N124" s="17" t="s">
        <v>1452</v>
      </c>
      <c r="O124" s="17" t="s">
        <v>76</v>
      </c>
      <c r="P124" s="17" t="s">
        <v>1453</v>
      </c>
      <c r="Q124" s="17" t="s">
        <v>1454</v>
      </c>
      <c r="R124" s="16" t="s">
        <v>65</v>
      </c>
      <c r="S124" s="16"/>
      <c r="T124" s="19" t="s">
        <v>1455</v>
      </c>
      <c r="U124" s="19" t="s">
        <v>67</v>
      </c>
    </row>
    <row r="125" customFormat="false" ht="96" hidden="false" customHeight="true" outlineLevel="0" collapsed="false">
      <c r="A125" s="16" t="n">
        <v>121</v>
      </c>
      <c r="B125" s="16" t="s">
        <v>1456</v>
      </c>
      <c r="C125" s="17" t="s">
        <v>1457</v>
      </c>
      <c r="D125" s="17" t="s">
        <v>1458</v>
      </c>
      <c r="E125" s="16" t="n">
        <v>2021</v>
      </c>
      <c r="F125" s="17" t="s">
        <v>445</v>
      </c>
      <c r="G125" s="16" t="s">
        <v>446</v>
      </c>
      <c r="H125" s="21" t="s">
        <v>11</v>
      </c>
      <c r="I125" s="17" t="s">
        <v>125</v>
      </c>
      <c r="J125" s="17" t="s">
        <v>1459</v>
      </c>
      <c r="K125" s="17" t="s">
        <v>1460</v>
      </c>
      <c r="L125" s="17" t="s">
        <v>1461</v>
      </c>
      <c r="M125" s="17" t="s">
        <v>1462</v>
      </c>
      <c r="N125" s="17" t="s">
        <v>1463</v>
      </c>
      <c r="O125" s="17" t="s">
        <v>1464</v>
      </c>
      <c r="P125" s="17" t="s">
        <v>1465</v>
      </c>
      <c r="Q125" s="17" t="s">
        <v>1466</v>
      </c>
      <c r="R125" s="16" t="s">
        <v>103</v>
      </c>
      <c r="S125" s="19" t="s">
        <v>1467</v>
      </c>
      <c r="T125" s="19" t="s">
        <v>1468</v>
      </c>
      <c r="U125" s="19" t="s">
        <v>67</v>
      </c>
    </row>
    <row r="126" customFormat="false" ht="96" hidden="false" customHeight="true" outlineLevel="0" collapsed="false">
      <c r="A126" s="16" t="n">
        <v>122</v>
      </c>
      <c r="B126" s="16" t="s">
        <v>1469</v>
      </c>
      <c r="C126" s="17" t="s">
        <v>1470</v>
      </c>
      <c r="D126" s="17" t="s">
        <v>1471</v>
      </c>
      <c r="E126" s="16" t="n">
        <v>2021</v>
      </c>
      <c r="F126" s="17" t="s">
        <v>1277</v>
      </c>
      <c r="G126" s="16" t="s">
        <v>1164</v>
      </c>
      <c r="H126" s="23" t="s">
        <v>19</v>
      </c>
      <c r="I126" s="17" t="s">
        <v>328</v>
      </c>
      <c r="J126" s="17" t="s">
        <v>1472</v>
      </c>
      <c r="K126" s="17" t="s">
        <v>1473</v>
      </c>
      <c r="L126" s="17" t="s">
        <v>1474</v>
      </c>
      <c r="M126" s="17" t="s">
        <v>1475</v>
      </c>
      <c r="N126" s="17" t="s">
        <v>1476</v>
      </c>
      <c r="O126" s="17" t="s">
        <v>1477</v>
      </c>
      <c r="P126" s="17" t="s">
        <v>1478</v>
      </c>
      <c r="Q126" s="17" t="s">
        <v>1479</v>
      </c>
      <c r="R126" s="16" t="s">
        <v>65</v>
      </c>
      <c r="S126" s="16"/>
      <c r="T126" s="19" t="s">
        <v>1480</v>
      </c>
      <c r="U126" s="19" t="s">
        <v>67</v>
      </c>
    </row>
    <row r="127" customFormat="false" ht="96" hidden="false" customHeight="true" outlineLevel="0" collapsed="false">
      <c r="A127" s="16" t="n">
        <v>123</v>
      </c>
      <c r="B127" s="16" t="s">
        <v>1481</v>
      </c>
      <c r="C127" s="17" t="s">
        <v>1482</v>
      </c>
      <c r="D127" s="17" t="s">
        <v>1483</v>
      </c>
      <c r="E127" s="16" t="n">
        <v>2021</v>
      </c>
      <c r="F127" s="17" t="s">
        <v>445</v>
      </c>
      <c r="G127" s="16" t="s">
        <v>446</v>
      </c>
      <c r="H127" s="21" t="s">
        <v>11</v>
      </c>
      <c r="I127" s="17" t="s">
        <v>125</v>
      </c>
      <c r="J127" s="17" t="s">
        <v>1484</v>
      </c>
      <c r="K127" s="17" t="s">
        <v>1485</v>
      </c>
      <c r="L127" s="17" t="s">
        <v>1486</v>
      </c>
      <c r="M127" s="17" t="s">
        <v>1487</v>
      </c>
      <c r="N127" s="17" t="s">
        <v>1488</v>
      </c>
      <c r="O127" s="17" t="s">
        <v>1489</v>
      </c>
      <c r="P127" s="17" t="s">
        <v>1490</v>
      </c>
      <c r="Q127" s="17" t="s">
        <v>1491</v>
      </c>
      <c r="R127" s="16" t="s">
        <v>103</v>
      </c>
      <c r="S127" s="19" t="s">
        <v>1492</v>
      </c>
      <c r="T127" s="19" t="s">
        <v>1493</v>
      </c>
      <c r="U127" s="19" t="s">
        <v>67</v>
      </c>
    </row>
    <row r="128" customFormat="false" ht="96" hidden="false" customHeight="true" outlineLevel="0" collapsed="false">
      <c r="A128" s="16" t="n">
        <v>124</v>
      </c>
      <c r="B128" s="16" t="s">
        <v>1494</v>
      </c>
      <c r="C128" s="17" t="s">
        <v>1495</v>
      </c>
      <c r="D128" s="17" t="s">
        <v>1496</v>
      </c>
      <c r="E128" s="16" t="n">
        <v>2021</v>
      </c>
      <c r="F128" s="17" t="s">
        <v>198</v>
      </c>
      <c r="G128" s="16" t="s">
        <v>199</v>
      </c>
      <c r="H128" s="22" t="s">
        <v>9</v>
      </c>
      <c r="I128" s="17" t="s">
        <v>223</v>
      </c>
      <c r="J128" s="17" t="s">
        <v>447</v>
      </c>
      <c r="K128" s="17" t="s">
        <v>1497</v>
      </c>
      <c r="L128" s="17" t="s">
        <v>1498</v>
      </c>
      <c r="M128" s="17" t="s">
        <v>1499</v>
      </c>
      <c r="N128" s="17" t="s">
        <v>853</v>
      </c>
      <c r="O128" s="17" t="s">
        <v>1500</v>
      </c>
      <c r="P128" s="17" t="s">
        <v>1501</v>
      </c>
      <c r="Q128" s="17" t="s">
        <v>1502</v>
      </c>
      <c r="R128" s="16" t="s">
        <v>65</v>
      </c>
      <c r="S128" s="16"/>
      <c r="T128" s="19" t="s">
        <v>1503</v>
      </c>
      <c r="U128" s="19" t="s">
        <v>67</v>
      </c>
    </row>
    <row r="129" customFormat="false" ht="96" hidden="false" customHeight="true" outlineLevel="0" collapsed="false">
      <c r="A129" s="16" t="n">
        <v>125</v>
      </c>
      <c r="B129" s="16" t="s">
        <v>1504</v>
      </c>
      <c r="C129" s="17" t="s">
        <v>1505</v>
      </c>
      <c r="D129" s="17" t="s">
        <v>1506</v>
      </c>
      <c r="E129" s="16" t="n">
        <v>2021</v>
      </c>
      <c r="F129" s="17" t="s">
        <v>209</v>
      </c>
      <c r="G129" s="16" t="s">
        <v>199</v>
      </c>
      <c r="H129" s="21" t="s">
        <v>11</v>
      </c>
      <c r="I129" s="17" t="s">
        <v>125</v>
      </c>
      <c r="J129" s="17" t="s">
        <v>85</v>
      </c>
      <c r="K129" s="17" t="s">
        <v>1507</v>
      </c>
      <c r="L129" s="17" t="s">
        <v>1508</v>
      </c>
      <c r="M129" s="17" t="s">
        <v>1509</v>
      </c>
      <c r="N129" s="17" t="s">
        <v>1510</v>
      </c>
      <c r="O129" s="17" t="s">
        <v>1511</v>
      </c>
      <c r="P129" s="17" t="s">
        <v>1512</v>
      </c>
      <c r="Q129" s="17" t="s">
        <v>1513</v>
      </c>
      <c r="R129" s="16" t="s">
        <v>65</v>
      </c>
      <c r="S129" s="16"/>
      <c r="T129" s="19" t="s">
        <v>1514</v>
      </c>
      <c r="U129" s="19" t="s">
        <v>67</v>
      </c>
    </row>
    <row r="130" customFormat="false" ht="96" hidden="false" customHeight="true" outlineLevel="0" collapsed="false">
      <c r="A130" s="16" t="n">
        <v>126</v>
      </c>
      <c r="B130" s="16" t="s">
        <v>1515</v>
      </c>
      <c r="C130" s="17" t="s">
        <v>1516</v>
      </c>
      <c r="D130" s="17" t="s">
        <v>1517</v>
      </c>
      <c r="E130" s="16" t="n">
        <v>2021</v>
      </c>
      <c r="F130" s="17" t="s">
        <v>209</v>
      </c>
      <c r="G130" s="16" t="s">
        <v>199</v>
      </c>
      <c r="H130" s="24" t="s">
        <v>15</v>
      </c>
      <c r="I130" s="17" t="s">
        <v>592</v>
      </c>
      <c r="J130" s="17" t="s">
        <v>1518</v>
      </c>
      <c r="K130" s="17" t="s">
        <v>1519</v>
      </c>
      <c r="L130" s="17" t="s">
        <v>1520</v>
      </c>
      <c r="M130" s="17" t="s">
        <v>1521</v>
      </c>
      <c r="N130" s="17" t="s">
        <v>1213</v>
      </c>
      <c r="O130" s="17" t="s">
        <v>1385</v>
      </c>
      <c r="P130" s="17" t="s">
        <v>1522</v>
      </c>
      <c r="Q130" s="17" t="s">
        <v>1523</v>
      </c>
      <c r="R130" s="16" t="s">
        <v>65</v>
      </c>
      <c r="S130" s="16"/>
      <c r="T130" s="19" t="s">
        <v>1524</v>
      </c>
      <c r="U130" s="19" t="s">
        <v>67</v>
      </c>
    </row>
    <row r="131" customFormat="false" ht="96" hidden="false" customHeight="true" outlineLevel="0" collapsed="false">
      <c r="A131" s="16" t="n">
        <v>127</v>
      </c>
      <c r="B131" s="16" t="s">
        <v>1525</v>
      </c>
      <c r="C131" s="17" t="s">
        <v>1526</v>
      </c>
      <c r="D131" s="17" t="s">
        <v>1527</v>
      </c>
      <c r="E131" s="16" t="n">
        <v>2021</v>
      </c>
      <c r="F131" s="17" t="s">
        <v>557</v>
      </c>
      <c r="G131" s="16" t="s">
        <v>446</v>
      </c>
      <c r="H131" s="18" t="s">
        <v>23</v>
      </c>
      <c r="I131" s="17" t="s">
        <v>23</v>
      </c>
      <c r="J131" s="17" t="s">
        <v>1528</v>
      </c>
      <c r="K131" s="17" t="s">
        <v>1529</v>
      </c>
      <c r="L131" s="17" t="s">
        <v>1530</v>
      </c>
      <c r="M131" s="17" t="s">
        <v>1531</v>
      </c>
      <c r="N131" s="17" t="s">
        <v>1532</v>
      </c>
      <c r="O131" s="17" t="s">
        <v>76</v>
      </c>
      <c r="P131" s="17" t="s">
        <v>1533</v>
      </c>
      <c r="Q131" s="17" t="s">
        <v>1534</v>
      </c>
      <c r="R131" s="16" t="s">
        <v>65</v>
      </c>
      <c r="S131" s="16"/>
      <c r="T131" s="19" t="s">
        <v>1535</v>
      </c>
      <c r="U131" s="19" t="s">
        <v>67</v>
      </c>
    </row>
    <row r="132" customFormat="false" ht="96" hidden="false" customHeight="true" outlineLevel="0" collapsed="false">
      <c r="A132" s="16" t="n">
        <v>128</v>
      </c>
      <c r="B132" s="16" t="s">
        <v>1536</v>
      </c>
      <c r="C132" s="17" t="s">
        <v>1537</v>
      </c>
      <c r="D132" s="17" t="s">
        <v>1538</v>
      </c>
      <c r="E132" s="16" t="n">
        <v>2021</v>
      </c>
      <c r="F132" s="17" t="s">
        <v>796</v>
      </c>
      <c r="G132" s="16" t="s">
        <v>199</v>
      </c>
      <c r="H132" s="20" t="s">
        <v>25</v>
      </c>
      <c r="I132" s="17" t="s">
        <v>72</v>
      </c>
      <c r="J132" s="17" t="s">
        <v>1539</v>
      </c>
      <c r="K132" s="17" t="s">
        <v>1109</v>
      </c>
      <c r="L132" s="17" t="s">
        <v>1540</v>
      </c>
      <c r="M132" s="17" t="s">
        <v>1541</v>
      </c>
      <c r="N132" s="17" t="s">
        <v>1452</v>
      </c>
      <c r="O132" s="17" t="s">
        <v>76</v>
      </c>
      <c r="P132" s="17" t="s">
        <v>1542</v>
      </c>
      <c r="Q132" s="17" t="s">
        <v>1543</v>
      </c>
      <c r="R132" s="16" t="s">
        <v>65</v>
      </c>
      <c r="S132" s="16"/>
      <c r="T132" s="19" t="s">
        <v>1544</v>
      </c>
      <c r="U132" s="19" t="s">
        <v>67</v>
      </c>
    </row>
    <row r="133" customFormat="false" ht="96" hidden="false" customHeight="true" outlineLevel="0" collapsed="false">
      <c r="A133" s="16" t="n">
        <v>129</v>
      </c>
      <c r="B133" s="16" t="s">
        <v>1545</v>
      </c>
      <c r="C133" s="17" t="s">
        <v>1546</v>
      </c>
      <c r="D133" s="17" t="s">
        <v>1547</v>
      </c>
      <c r="E133" s="16" t="n">
        <v>2021</v>
      </c>
      <c r="F133" s="17" t="s">
        <v>661</v>
      </c>
      <c r="G133" s="16" t="s">
        <v>199</v>
      </c>
      <c r="H133" s="25" t="s">
        <v>5</v>
      </c>
      <c r="I133" s="17" t="s">
        <v>811</v>
      </c>
      <c r="J133" s="17" t="s">
        <v>1548</v>
      </c>
      <c r="K133" s="17" t="s">
        <v>1549</v>
      </c>
      <c r="L133" s="17" t="s">
        <v>1550</v>
      </c>
      <c r="M133" s="17" t="s">
        <v>1551</v>
      </c>
      <c r="N133" s="17" t="s">
        <v>1552</v>
      </c>
      <c r="O133" s="17" t="s">
        <v>1553</v>
      </c>
      <c r="P133" s="17" t="s">
        <v>1554</v>
      </c>
      <c r="Q133" s="17" t="s">
        <v>1555</v>
      </c>
      <c r="R133" s="16" t="s">
        <v>103</v>
      </c>
      <c r="S133" s="19" t="s">
        <v>1556</v>
      </c>
      <c r="T133" s="19" t="s">
        <v>1557</v>
      </c>
      <c r="U133" s="19" t="s">
        <v>67</v>
      </c>
    </row>
    <row r="134" customFormat="false" ht="96" hidden="false" customHeight="true" outlineLevel="0" collapsed="false">
      <c r="A134" s="16" t="n">
        <v>130</v>
      </c>
      <c r="B134" s="16" t="s">
        <v>1558</v>
      </c>
      <c r="C134" s="17" t="s">
        <v>1559</v>
      </c>
      <c r="D134" s="17" t="s">
        <v>1560</v>
      </c>
      <c r="E134" s="16" t="n">
        <v>2021</v>
      </c>
      <c r="F134" s="17" t="s">
        <v>327</v>
      </c>
      <c r="G134" s="16" t="s">
        <v>148</v>
      </c>
      <c r="H134" s="21" t="s">
        <v>11</v>
      </c>
      <c r="I134" s="17" t="s">
        <v>125</v>
      </c>
      <c r="J134" s="17" t="s">
        <v>1561</v>
      </c>
      <c r="K134" s="17" t="s">
        <v>1562</v>
      </c>
      <c r="L134" s="17" t="s">
        <v>1563</v>
      </c>
      <c r="M134" s="17" t="s">
        <v>1564</v>
      </c>
      <c r="N134" s="17" t="s">
        <v>1565</v>
      </c>
      <c r="O134" s="17" t="s">
        <v>1566</v>
      </c>
      <c r="P134" s="17" t="s">
        <v>1567</v>
      </c>
      <c r="Q134" s="17" t="s">
        <v>1568</v>
      </c>
      <c r="R134" s="16" t="s">
        <v>103</v>
      </c>
      <c r="S134" s="19" t="s">
        <v>1569</v>
      </c>
      <c r="T134" s="19" t="s">
        <v>1570</v>
      </c>
      <c r="U134" s="19" t="s">
        <v>67</v>
      </c>
    </row>
    <row r="135" customFormat="false" ht="96" hidden="false" customHeight="true" outlineLevel="0" collapsed="false">
      <c r="A135" s="16" t="n">
        <v>131</v>
      </c>
      <c r="B135" s="16" t="s">
        <v>1571</v>
      </c>
      <c r="C135" s="17" t="s">
        <v>1572</v>
      </c>
      <c r="D135" s="17" t="s">
        <v>1573</v>
      </c>
      <c r="E135" s="16" t="n">
        <v>2021</v>
      </c>
      <c r="F135" s="17" t="s">
        <v>557</v>
      </c>
      <c r="G135" s="16" t="s">
        <v>446</v>
      </c>
      <c r="H135" s="23" t="s">
        <v>21</v>
      </c>
      <c r="I135" s="17" t="s">
        <v>328</v>
      </c>
      <c r="J135" s="17" t="s">
        <v>1574</v>
      </c>
      <c r="K135" s="17" t="s">
        <v>1575</v>
      </c>
      <c r="L135" s="17" t="s">
        <v>1576</v>
      </c>
      <c r="M135" s="17" t="s">
        <v>1577</v>
      </c>
      <c r="N135" s="17" t="s">
        <v>1578</v>
      </c>
      <c r="O135" s="17" t="s">
        <v>1579</v>
      </c>
      <c r="P135" s="17" t="s">
        <v>1580</v>
      </c>
      <c r="Q135" s="17" t="s">
        <v>1581</v>
      </c>
      <c r="R135" s="16" t="s">
        <v>103</v>
      </c>
      <c r="S135" s="19" t="s">
        <v>1582</v>
      </c>
      <c r="T135" s="19" t="s">
        <v>1583</v>
      </c>
      <c r="U135" s="19" t="s">
        <v>67</v>
      </c>
    </row>
    <row r="136" customFormat="false" ht="96" hidden="false" customHeight="true" outlineLevel="0" collapsed="false">
      <c r="A136" s="16" t="n">
        <v>132</v>
      </c>
      <c r="B136" s="16" t="s">
        <v>1584</v>
      </c>
      <c r="C136" s="17" t="s">
        <v>1585</v>
      </c>
      <c r="D136" s="17" t="s">
        <v>1220</v>
      </c>
      <c r="E136" s="16" t="n">
        <v>2021</v>
      </c>
      <c r="F136" s="17" t="s">
        <v>1586</v>
      </c>
      <c r="G136" s="16" t="s">
        <v>84</v>
      </c>
      <c r="H136" s="25" t="s">
        <v>7</v>
      </c>
      <c r="I136" s="17" t="s">
        <v>811</v>
      </c>
      <c r="J136" s="17" t="s">
        <v>1587</v>
      </c>
      <c r="K136" s="17" t="s">
        <v>1588</v>
      </c>
      <c r="L136" s="17" t="s">
        <v>1589</v>
      </c>
      <c r="M136" s="17" t="s">
        <v>1590</v>
      </c>
      <c r="N136" s="17" t="s">
        <v>1591</v>
      </c>
      <c r="O136" s="17" t="s">
        <v>1592</v>
      </c>
      <c r="P136" s="17" t="s">
        <v>1593</v>
      </c>
      <c r="Q136" s="17" t="s">
        <v>1594</v>
      </c>
      <c r="R136" s="16" t="s">
        <v>65</v>
      </c>
      <c r="S136" s="16"/>
      <c r="T136" s="19" t="s">
        <v>1595</v>
      </c>
      <c r="U136" s="19" t="s">
        <v>67</v>
      </c>
    </row>
    <row r="137" customFormat="false" ht="96" hidden="false" customHeight="true" outlineLevel="0" collapsed="false">
      <c r="A137" s="16" t="n">
        <v>133</v>
      </c>
      <c r="B137" s="16" t="s">
        <v>1596</v>
      </c>
      <c r="C137" s="17" t="s">
        <v>1597</v>
      </c>
      <c r="D137" s="17" t="s">
        <v>1598</v>
      </c>
      <c r="E137" s="16" t="n">
        <v>2021</v>
      </c>
      <c r="F137" s="17" t="s">
        <v>445</v>
      </c>
      <c r="G137" s="16" t="s">
        <v>446</v>
      </c>
      <c r="H137" s="21" t="s">
        <v>11</v>
      </c>
      <c r="I137" s="17" t="s">
        <v>125</v>
      </c>
      <c r="J137" s="17" t="s">
        <v>1459</v>
      </c>
      <c r="K137" s="17" t="s">
        <v>1599</v>
      </c>
      <c r="L137" s="17" t="s">
        <v>1600</v>
      </c>
      <c r="M137" s="17" t="s">
        <v>1601</v>
      </c>
      <c r="N137" s="17" t="s">
        <v>1602</v>
      </c>
      <c r="O137" s="17" t="s">
        <v>1603</v>
      </c>
      <c r="P137" s="17" t="s">
        <v>1604</v>
      </c>
      <c r="Q137" s="17" t="s">
        <v>1605</v>
      </c>
      <c r="R137" s="16" t="s">
        <v>65</v>
      </c>
      <c r="S137" s="16"/>
      <c r="T137" s="19" t="s">
        <v>1606</v>
      </c>
      <c r="U137" s="19" t="s">
        <v>67</v>
      </c>
    </row>
    <row r="138" customFormat="false" ht="96" hidden="false" customHeight="true" outlineLevel="0" collapsed="false">
      <c r="A138" s="16" t="n">
        <v>134</v>
      </c>
      <c r="B138" s="16" t="s">
        <v>1607</v>
      </c>
      <c r="C138" s="17" t="s">
        <v>1608</v>
      </c>
      <c r="D138" s="17" t="s">
        <v>1609</v>
      </c>
      <c r="E138" s="16" t="n">
        <v>2021</v>
      </c>
      <c r="F138" s="17" t="s">
        <v>1610</v>
      </c>
      <c r="G138" s="16" t="s">
        <v>446</v>
      </c>
      <c r="H138" s="18" t="s">
        <v>23</v>
      </c>
      <c r="I138" s="17" t="s">
        <v>23</v>
      </c>
      <c r="J138" s="17" t="s">
        <v>1611</v>
      </c>
      <c r="K138" s="17" t="s">
        <v>1612</v>
      </c>
      <c r="L138" s="17" t="s">
        <v>1613</v>
      </c>
      <c r="M138" s="17" t="s">
        <v>1614</v>
      </c>
      <c r="N138" s="17" t="s">
        <v>1615</v>
      </c>
      <c r="O138" s="17" t="s">
        <v>76</v>
      </c>
      <c r="P138" s="17" t="s">
        <v>1616</v>
      </c>
      <c r="Q138" s="17" t="s">
        <v>1617</v>
      </c>
      <c r="R138" s="16" t="s">
        <v>65</v>
      </c>
      <c r="S138" s="16"/>
      <c r="T138" s="19" t="s">
        <v>1618</v>
      </c>
      <c r="U138" s="19" t="s">
        <v>67</v>
      </c>
    </row>
    <row r="139" customFormat="false" ht="96" hidden="false" customHeight="true" outlineLevel="0" collapsed="false">
      <c r="A139" s="16" t="n">
        <v>135</v>
      </c>
      <c r="B139" s="16" t="s">
        <v>1619</v>
      </c>
      <c r="C139" s="17" t="s">
        <v>1620</v>
      </c>
      <c r="D139" s="17" t="s">
        <v>1621</v>
      </c>
      <c r="E139" s="16" t="n">
        <v>2021</v>
      </c>
      <c r="F139" s="17" t="s">
        <v>661</v>
      </c>
      <c r="G139" s="16" t="s">
        <v>199</v>
      </c>
      <c r="H139" s="26" t="s">
        <v>17</v>
      </c>
      <c r="I139" s="17" t="s">
        <v>17</v>
      </c>
      <c r="J139" s="17" t="s">
        <v>1622</v>
      </c>
      <c r="K139" s="17" t="s">
        <v>1623</v>
      </c>
      <c r="L139" s="17" t="s">
        <v>1624</v>
      </c>
      <c r="M139" s="17" t="s">
        <v>1625</v>
      </c>
      <c r="N139" s="17" t="s">
        <v>1626</v>
      </c>
      <c r="O139" s="17" t="s">
        <v>979</v>
      </c>
      <c r="P139" s="17" t="s">
        <v>1627</v>
      </c>
      <c r="Q139" s="17" t="s">
        <v>1628</v>
      </c>
      <c r="R139" s="16" t="s">
        <v>65</v>
      </c>
      <c r="S139" s="16"/>
      <c r="T139" s="19" t="s">
        <v>1629</v>
      </c>
      <c r="U139" s="19" t="s">
        <v>67</v>
      </c>
    </row>
    <row r="140" customFormat="false" ht="96" hidden="false" customHeight="true" outlineLevel="0" collapsed="false">
      <c r="A140" s="16" t="n">
        <v>136</v>
      </c>
      <c r="B140" s="16" t="s">
        <v>1630</v>
      </c>
      <c r="C140" s="17" t="s">
        <v>1631</v>
      </c>
      <c r="D140" s="17" t="s">
        <v>1632</v>
      </c>
      <c r="E140" s="16" t="n">
        <v>2021</v>
      </c>
      <c r="F140" s="17" t="s">
        <v>661</v>
      </c>
      <c r="G140" s="16" t="s">
        <v>199</v>
      </c>
      <c r="H140" s="22" t="s">
        <v>9</v>
      </c>
      <c r="I140" s="17" t="s">
        <v>223</v>
      </c>
      <c r="J140" s="17" t="s">
        <v>279</v>
      </c>
      <c r="K140" s="17" t="s">
        <v>1633</v>
      </c>
      <c r="L140" s="17" t="s">
        <v>1634</v>
      </c>
      <c r="M140" s="17" t="s">
        <v>1635</v>
      </c>
      <c r="N140" s="17" t="s">
        <v>474</v>
      </c>
      <c r="O140" s="17" t="s">
        <v>1636</v>
      </c>
      <c r="P140" s="17" t="s">
        <v>1637</v>
      </c>
      <c r="Q140" s="17" t="s">
        <v>1638</v>
      </c>
      <c r="R140" s="16" t="s">
        <v>65</v>
      </c>
      <c r="S140" s="16"/>
      <c r="T140" s="19" t="s">
        <v>1639</v>
      </c>
      <c r="U140" s="19" t="s">
        <v>67</v>
      </c>
    </row>
    <row r="141" customFormat="false" ht="96" hidden="false" customHeight="true" outlineLevel="0" collapsed="false">
      <c r="A141" s="16" t="n">
        <v>137</v>
      </c>
      <c r="B141" s="16" t="s">
        <v>1640</v>
      </c>
      <c r="C141" s="17" t="s">
        <v>1641</v>
      </c>
      <c r="D141" s="17" t="s">
        <v>1642</v>
      </c>
      <c r="E141" s="16" t="n">
        <v>2021</v>
      </c>
      <c r="F141" s="17" t="s">
        <v>83</v>
      </c>
      <c r="G141" s="16" t="s">
        <v>84</v>
      </c>
      <c r="H141" s="20" t="s">
        <v>25</v>
      </c>
      <c r="I141" s="17" t="s">
        <v>72</v>
      </c>
      <c r="J141" s="17" t="s">
        <v>1643</v>
      </c>
      <c r="K141" s="17" t="s">
        <v>73</v>
      </c>
      <c r="L141" s="17" t="s">
        <v>1644</v>
      </c>
      <c r="M141" s="17" t="s">
        <v>1645</v>
      </c>
      <c r="N141" s="17" t="s">
        <v>76</v>
      </c>
      <c r="O141" s="17" t="s">
        <v>76</v>
      </c>
      <c r="P141" s="17" t="s">
        <v>1646</v>
      </c>
      <c r="Q141" s="17" t="s">
        <v>1647</v>
      </c>
      <c r="R141" s="16" t="s">
        <v>65</v>
      </c>
      <c r="S141" s="16"/>
      <c r="T141" s="19" t="s">
        <v>1648</v>
      </c>
      <c r="U141" s="19" t="s">
        <v>67</v>
      </c>
    </row>
    <row r="142" customFormat="false" ht="96" hidden="false" customHeight="true" outlineLevel="0" collapsed="false">
      <c r="A142" s="16" t="n">
        <v>138</v>
      </c>
      <c r="B142" s="16" t="s">
        <v>1649</v>
      </c>
      <c r="C142" s="17" t="s">
        <v>1650</v>
      </c>
      <c r="D142" s="17" t="s">
        <v>1651</v>
      </c>
      <c r="E142" s="16" t="n">
        <v>2021</v>
      </c>
      <c r="F142" s="17" t="s">
        <v>772</v>
      </c>
      <c r="G142" s="16" t="s">
        <v>84</v>
      </c>
      <c r="H142" s="26" t="s">
        <v>17</v>
      </c>
      <c r="I142" s="17" t="s">
        <v>17</v>
      </c>
      <c r="J142" s="17" t="s">
        <v>1652</v>
      </c>
      <c r="K142" s="17" t="s">
        <v>1653</v>
      </c>
      <c r="L142" s="17" t="s">
        <v>1654</v>
      </c>
      <c r="M142" s="17" t="s">
        <v>1655</v>
      </c>
      <c r="N142" s="17" t="s">
        <v>1656</v>
      </c>
      <c r="O142" s="17" t="s">
        <v>979</v>
      </c>
      <c r="P142" s="17" t="s">
        <v>1657</v>
      </c>
      <c r="Q142" s="17" t="s">
        <v>1658</v>
      </c>
      <c r="R142" s="16" t="s">
        <v>65</v>
      </c>
      <c r="S142" s="16"/>
      <c r="T142" s="19" t="s">
        <v>1659</v>
      </c>
      <c r="U142" s="19" t="s">
        <v>67</v>
      </c>
    </row>
    <row r="143" customFormat="false" ht="96" hidden="false" customHeight="true" outlineLevel="0" collapsed="false">
      <c r="A143" s="16" t="n">
        <v>139</v>
      </c>
      <c r="B143" s="16" t="s">
        <v>1660</v>
      </c>
      <c r="C143" s="17" t="s">
        <v>1661</v>
      </c>
      <c r="D143" s="17" t="s">
        <v>1662</v>
      </c>
      <c r="E143" s="16" t="n">
        <v>2021</v>
      </c>
      <c r="F143" s="17" t="s">
        <v>661</v>
      </c>
      <c r="G143" s="16" t="s">
        <v>199</v>
      </c>
      <c r="H143" s="23" t="s">
        <v>19</v>
      </c>
      <c r="I143" s="17" t="s">
        <v>328</v>
      </c>
      <c r="J143" s="17" t="s">
        <v>1663</v>
      </c>
      <c r="K143" s="17" t="s">
        <v>1664</v>
      </c>
      <c r="L143" s="17" t="s">
        <v>1665</v>
      </c>
      <c r="M143" s="17" t="s">
        <v>1666</v>
      </c>
      <c r="N143" s="17" t="s">
        <v>1667</v>
      </c>
      <c r="O143" s="17" t="s">
        <v>1668</v>
      </c>
      <c r="P143" s="17" t="s">
        <v>1669</v>
      </c>
      <c r="Q143" s="17" t="s">
        <v>1670</v>
      </c>
      <c r="R143" s="16" t="s">
        <v>103</v>
      </c>
      <c r="S143" s="19" t="s">
        <v>1671</v>
      </c>
      <c r="T143" s="19" t="s">
        <v>1672</v>
      </c>
      <c r="U143" s="19" t="s">
        <v>67</v>
      </c>
    </row>
    <row r="144" customFormat="false" ht="96" hidden="false" customHeight="true" outlineLevel="0" collapsed="false">
      <c r="A144" s="16" t="n">
        <v>140</v>
      </c>
      <c r="B144" s="16" t="s">
        <v>1673</v>
      </c>
      <c r="C144" s="17" t="s">
        <v>1674</v>
      </c>
      <c r="D144" s="17" t="s">
        <v>1675</v>
      </c>
      <c r="E144" s="16" t="n">
        <v>2021</v>
      </c>
      <c r="F144" s="17" t="s">
        <v>661</v>
      </c>
      <c r="G144" s="16" t="s">
        <v>199</v>
      </c>
      <c r="H144" s="21" t="s">
        <v>11</v>
      </c>
      <c r="I144" s="17" t="s">
        <v>125</v>
      </c>
      <c r="J144" s="17" t="s">
        <v>1676</v>
      </c>
      <c r="K144" s="17" t="s">
        <v>1677</v>
      </c>
      <c r="L144" s="17" t="s">
        <v>1678</v>
      </c>
      <c r="M144" s="17" t="s">
        <v>1679</v>
      </c>
      <c r="N144" s="17" t="s">
        <v>1680</v>
      </c>
      <c r="O144" s="17" t="s">
        <v>1681</v>
      </c>
      <c r="P144" s="17" t="s">
        <v>1682</v>
      </c>
      <c r="Q144" s="17" t="s">
        <v>1683</v>
      </c>
      <c r="R144" s="16" t="s">
        <v>103</v>
      </c>
      <c r="S144" s="19" t="s">
        <v>1684</v>
      </c>
      <c r="T144" s="19" t="s">
        <v>1685</v>
      </c>
      <c r="U144" s="19" t="s">
        <v>67</v>
      </c>
    </row>
    <row r="145" customFormat="false" ht="96" hidden="false" customHeight="true" outlineLevel="0" collapsed="false">
      <c r="A145" s="16" t="n">
        <v>141</v>
      </c>
      <c r="B145" s="16" t="s">
        <v>1686</v>
      </c>
      <c r="C145" s="17" t="s">
        <v>1687</v>
      </c>
      <c r="D145" s="17" t="s">
        <v>1688</v>
      </c>
      <c r="E145" s="16" t="n">
        <v>2021</v>
      </c>
      <c r="F145" s="17" t="s">
        <v>1689</v>
      </c>
      <c r="G145" s="16" t="s">
        <v>1164</v>
      </c>
      <c r="H145" s="23" t="s">
        <v>19</v>
      </c>
      <c r="I145" s="17" t="s">
        <v>328</v>
      </c>
      <c r="J145" s="17" t="s">
        <v>1690</v>
      </c>
      <c r="K145" s="17" t="s">
        <v>1691</v>
      </c>
      <c r="L145" s="17" t="s">
        <v>1692</v>
      </c>
      <c r="M145" s="17" t="s">
        <v>1693</v>
      </c>
      <c r="N145" s="17" t="s">
        <v>1694</v>
      </c>
      <c r="O145" s="17" t="s">
        <v>1695</v>
      </c>
      <c r="P145" s="17" t="s">
        <v>1696</v>
      </c>
      <c r="Q145" s="17" t="s">
        <v>1697</v>
      </c>
      <c r="R145" s="16" t="s">
        <v>65</v>
      </c>
      <c r="S145" s="16"/>
      <c r="T145" s="19" t="s">
        <v>1698</v>
      </c>
      <c r="U145" s="19" t="s">
        <v>67</v>
      </c>
    </row>
    <row r="146" customFormat="false" ht="96" hidden="false" customHeight="true" outlineLevel="0" collapsed="false">
      <c r="A146" s="16" t="n">
        <v>142</v>
      </c>
      <c r="B146" s="16" t="s">
        <v>1699</v>
      </c>
      <c r="C146" s="17" t="s">
        <v>1700</v>
      </c>
      <c r="D146" s="17" t="s">
        <v>1701</v>
      </c>
      <c r="E146" s="16" t="n">
        <v>2021</v>
      </c>
      <c r="F146" s="17" t="s">
        <v>605</v>
      </c>
      <c r="G146" s="16" t="s">
        <v>148</v>
      </c>
      <c r="H146" s="21" t="s">
        <v>13</v>
      </c>
      <c r="I146" s="17" t="s">
        <v>125</v>
      </c>
      <c r="J146" s="17" t="s">
        <v>1702</v>
      </c>
      <c r="K146" s="17" t="s">
        <v>1703</v>
      </c>
      <c r="L146" s="17" t="s">
        <v>1704</v>
      </c>
      <c r="M146" s="17" t="s">
        <v>1705</v>
      </c>
      <c r="N146" s="17" t="s">
        <v>1706</v>
      </c>
      <c r="O146" s="17" t="s">
        <v>1707</v>
      </c>
      <c r="P146" s="17" t="s">
        <v>1708</v>
      </c>
      <c r="Q146" s="17" t="s">
        <v>1709</v>
      </c>
      <c r="R146" s="16" t="s">
        <v>103</v>
      </c>
      <c r="S146" s="19" t="s">
        <v>1710</v>
      </c>
      <c r="T146" s="19" t="s">
        <v>1711</v>
      </c>
      <c r="U146" s="19" t="s">
        <v>67</v>
      </c>
    </row>
    <row r="147" customFormat="false" ht="96" hidden="false" customHeight="true" outlineLevel="0" collapsed="false">
      <c r="A147" s="16" t="n">
        <v>143</v>
      </c>
      <c r="B147" s="16" t="s">
        <v>1712</v>
      </c>
      <c r="C147" s="17" t="s">
        <v>1713</v>
      </c>
      <c r="D147" s="17" t="s">
        <v>1714</v>
      </c>
      <c r="E147" s="16" t="n">
        <v>2020</v>
      </c>
      <c r="F147" s="17" t="s">
        <v>1277</v>
      </c>
      <c r="G147" s="16" t="s">
        <v>1164</v>
      </c>
      <c r="H147" s="21" t="s">
        <v>11</v>
      </c>
      <c r="I147" s="17" t="s">
        <v>125</v>
      </c>
      <c r="J147" s="17" t="s">
        <v>1715</v>
      </c>
      <c r="K147" s="17" t="s">
        <v>1716</v>
      </c>
      <c r="L147" s="17" t="s">
        <v>1717</v>
      </c>
      <c r="M147" s="17" t="s">
        <v>1718</v>
      </c>
      <c r="N147" s="17" t="s">
        <v>1719</v>
      </c>
      <c r="O147" s="17" t="s">
        <v>1681</v>
      </c>
      <c r="P147" s="17" t="s">
        <v>1720</v>
      </c>
      <c r="Q147" s="17" t="s">
        <v>1721</v>
      </c>
      <c r="R147" s="16" t="s">
        <v>65</v>
      </c>
      <c r="S147" s="16"/>
      <c r="T147" s="19" t="s">
        <v>1722</v>
      </c>
      <c r="U147" s="19" t="s">
        <v>67</v>
      </c>
    </row>
    <row r="148" customFormat="false" ht="96" hidden="false" customHeight="true" outlineLevel="0" collapsed="false">
      <c r="A148" s="16" t="n">
        <v>144</v>
      </c>
      <c r="B148" s="16" t="s">
        <v>1723</v>
      </c>
      <c r="C148" s="17" t="s">
        <v>1724</v>
      </c>
      <c r="D148" s="17" t="s">
        <v>1725</v>
      </c>
      <c r="E148" s="16" t="n">
        <v>2020</v>
      </c>
      <c r="F148" s="17" t="s">
        <v>1726</v>
      </c>
      <c r="G148" s="16" t="s">
        <v>199</v>
      </c>
      <c r="H148" s="21" t="s">
        <v>11</v>
      </c>
      <c r="I148" s="17" t="s">
        <v>125</v>
      </c>
      <c r="J148" s="17" t="s">
        <v>1727</v>
      </c>
      <c r="K148" s="17" t="s">
        <v>1728</v>
      </c>
      <c r="L148" s="17" t="s">
        <v>1729</v>
      </c>
      <c r="M148" s="17" t="s">
        <v>1730</v>
      </c>
      <c r="N148" s="17" t="s">
        <v>1731</v>
      </c>
      <c r="O148" s="17" t="s">
        <v>1732</v>
      </c>
      <c r="P148" s="17" t="s">
        <v>1733</v>
      </c>
      <c r="Q148" s="17" t="s">
        <v>1734</v>
      </c>
      <c r="R148" s="16" t="s">
        <v>103</v>
      </c>
      <c r="S148" s="19" t="s">
        <v>1735</v>
      </c>
      <c r="T148" s="19" t="s">
        <v>1736</v>
      </c>
      <c r="U148" s="19" t="s">
        <v>67</v>
      </c>
    </row>
    <row r="149" customFormat="false" ht="96" hidden="false" customHeight="true" outlineLevel="0" collapsed="false">
      <c r="A149" s="16" t="n">
        <v>145</v>
      </c>
      <c r="B149" s="16" t="s">
        <v>1737</v>
      </c>
      <c r="C149" s="17" t="s">
        <v>1738</v>
      </c>
      <c r="D149" s="17" t="s">
        <v>1739</v>
      </c>
      <c r="E149" s="16" t="n">
        <v>2020</v>
      </c>
      <c r="F149" s="17" t="s">
        <v>209</v>
      </c>
      <c r="G149" s="16" t="s">
        <v>199</v>
      </c>
      <c r="H149" s="22" t="s">
        <v>9</v>
      </c>
      <c r="I149" s="17" t="s">
        <v>223</v>
      </c>
      <c r="J149" s="17" t="s">
        <v>1740</v>
      </c>
      <c r="K149" s="17" t="s">
        <v>1741</v>
      </c>
      <c r="L149" s="17" t="s">
        <v>1742</v>
      </c>
      <c r="M149" s="17" t="s">
        <v>1743</v>
      </c>
      <c r="N149" s="17" t="s">
        <v>1744</v>
      </c>
      <c r="O149" s="17" t="s">
        <v>1745</v>
      </c>
      <c r="P149" s="17" t="s">
        <v>1746</v>
      </c>
      <c r="Q149" s="17" t="s">
        <v>1747</v>
      </c>
      <c r="R149" s="16" t="s">
        <v>103</v>
      </c>
      <c r="S149" s="19" t="s">
        <v>1748</v>
      </c>
      <c r="T149" s="19" t="s">
        <v>1749</v>
      </c>
      <c r="U149" s="19" t="s">
        <v>67</v>
      </c>
    </row>
    <row r="150" customFormat="false" ht="96" hidden="false" customHeight="true" outlineLevel="0" collapsed="false">
      <c r="A150" s="16" t="n">
        <v>146</v>
      </c>
      <c r="B150" s="16" t="s">
        <v>1750</v>
      </c>
      <c r="C150" s="17" t="s">
        <v>1751</v>
      </c>
      <c r="D150" s="17" t="s">
        <v>1752</v>
      </c>
      <c r="E150" s="16" t="n">
        <v>2020</v>
      </c>
      <c r="F150" s="17" t="s">
        <v>1753</v>
      </c>
      <c r="G150" s="16" t="s">
        <v>1164</v>
      </c>
      <c r="H150" s="24" t="s">
        <v>15</v>
      </c>
      <c r="I150" s="17" t="s">
        <v>592</v>
      </c>
      <c r="J150" s="17" t="s">
        <v>1209</v>
      </c>
      <c r="K150" s="17" t="s">
        <v>1754</v>
      </c>
      <c r="L150" s="17" t="s">
        <v>1755</v>
      </c>
      <c r="M150" s="17" t="s">
        <v>1756</v>
      </c>
      <c r="N150" s="17" t="s">
        <v>1757</v>
      </c>
      <c r="O150" s="17" t="s">
        <v>1758</v>
      </c>
      <c r="P150" s="17" t="s">
        <v>1759</v>
      </c>
      <c r="Q150" s="17" t="s">
        <v>1760</v>
      </c>
      <c r="R150" s="16" t="s">
        <v>65</v>
      </c>
      <c r="S150" s="16"/>
      <c r="T150" s="19" t="s">
        <v>1761</v>
      </c>
      <c r="U150" s="19" t="s">
        <v>67</v>
      </c>
    </row>
    <row r="151" customFormat="false" ht="96" hidden="false" customHeight="true" outlineLevel="0" collapsed="false">
      <c r="A151" s="16" t="n">
        <v>147</v>
      </c>
      <c r="B151" s="16" t="s">
        <v>1762</v>
      </c>
      <c r="C151" s="17" t="s">
        <v>1763</v>
      </c>
      <c r="D151" s="17" t="s">
        <v>1764</v>
      </c>
      <c r="E151" s="16" t="n">
        <v>2020</v>
      </c>
      <c r="F151" s="17" t="s">
        <v>209</v>
      </c>
      <c r="G151" s="16" t="s">
        <v>199</v>
      </c>
      <c r="H151" s="23" t="s">
        <v>21</v>
      </c>
      <c r="I151" s="17" t="s">
        <v>328</v>
      </c>
      <c r="J151" s="17" t="s">
        <v>1765</v>
      </c>
      <c r="K151" s="17" t="s">
        <v>1074</v>
      </c>
      <c r="L151" s="17" t="s">
        <v>1766</v>
      </c>
      <c r="M151" s="17" t="s">
        <v>1767</v>
      </c>
      <c r="N151" s="17" t="s">
        <v>1768</v>
      </c>
      <c r="O151" s="17" t="s">
        <v>1769</v>
      </c>
      <c r="P151" s="17" t="s">
        <v>1770</v>
      </c>
      <c r="Q151" s="17" t="s">
        <v>1771</v>
      </c>
      <c r="R151" s="16" t="s">
        <v>103</v>
      </c>
      <c r="S151" s="19" t="s">
        <v>1772</v>
      </c>
      <c r="T151" s="19" t="s">
        <v>1773</v>
      </c>
      <c r="U151" s="19" t="s">
        <v>67</v>
      </c>
    </row>
    <row r="152" customFormat="false" ht="96" hidden="false" customHeight="true" outlineLevel="0" collapsed="false">
      <c r="A152" s="16" t="n">
        <v>148</v>
      </c>
      <c r="B152" s="16" t="s">
        <v>1774</v>
      </c>
      <c r="C152" s="17" t="s">
        <v>1775</v>
      </c>
      <c r="D152" s="17" t="s">
        <v>1776</v>
      </c>
      <c r="E152" s="16" t="n">
        <v>2020</v>
      </c>
      <c r="F152" s="17" t="s">
        <v>1777</v>
      </c>
      <c r="G152" s="16" t="s">
        <v>162</v>
      </c>
      <c r="H152" s="20" t="s">
        <v>25</v>
      </c>
      <c r="I152" s="17" t="s">
        <v>72</v>
      </c>
      <c r="J152" s="17" t="s">
        <v>1109</v>
      </c>
      <c r="K152" s="17" t="s">
        <v>1109</v>
      </c>
      <c r="L152" s="17" t="s">
        <v>1778</v>
      </c>
      <c r="M152" s="17" t="s">
        <v>1779</v>
      </c>
      <c r="N152" s="17" t="s">
        <v>1780</v>
      </c>
      <c r="O152" s="17" t="s">
        <v>76</v>
      </c>
      <c r="P152" s="17" t="s">
        <v>1781</v>
      </c>
      <c r="Q152" s="17" t="s">
        <v>1782</v>
      </c>
      <c r="R152" s="16" t="s">
        <v>65</v>
      </c>
      <c r="S152" s="16"/>
      <c r="T152" s="19" t="s">
        <v>1783</v>
      </c>
      <c r="U152" s="19" t="s">
        <v>67</v>
      </c>
    </row>
    <row r="153" customFormat="false" ht="96" hidden="false" customHeight="true" outlineLevel="0" collapsed="false">
      <c r="A153" s="16" t="n">
        <v>149</v>
      </c>
      <c r="B153" s="16" t="s">
        <v>1784</v>
      </c>
      <c r="C153" s="17" t="s">
        <v>1785</v>
      </c>
      <c r="D153" s="17" t="s">
        <v>1786</v>
      </c>
      <c r="E153" s="16" t="n">
        <v>2020</v>
      </c>
      <c r="F153" s="17" t="s">
        <v>883</v>
      </c>
      <c r="G153" s="16" t="s">
        <v>446</v>
      </c>
      <c r="H153" s="21" t="s">
        <v>11</v>
      </c>
      <c r="I153" s="17" t="s">
        <v>125</v>
      </c>
      <c r="J153" s="17" t="s">
        <v>1787</v>
      </c>
      <c r="K153" s="17" t="s">
        <v>1788</v>
      </c>
      <c r="L153" s="17" t="s">
        <v>1789</v>
      </c>
      <c r="M153" s="17" t="s">
        <v>1790</v>
      </c>
      <c r="N153" s="17" t="s">
        <v>1791</v>
      </c>
      <c r="O153" s="17" t="s">
        <v>1792</v>
      </c>
      <c r="P153" s="17" t="s">
        <v>1793</v>
      </c>
      <c r="Q153" s="17" t="s">
        <v>1794</v>
      </c>
      <c r="R153" s="16" t="s">
        <v>103</v>
      </c>
      <c r="S153" s="19" t="s">
        <v>1795</v>
      </c>
      <c r="T153" s="19" t="s">
        <v>1796</v>
      </c>
      <c r="U153" s="19" t="s">
        <v>67</v>
      </c>
    </row>
    <row r="154" customFormat="false" ht="96" hidden="false" customHeight="true" outlineLevel="0" collapsed="false">
      <c r="A154" s="16" t="n">
        <v>150</v>
      </c>
      <c r="B154" s="16" t="s">
        <v>1797</v>
      </c>
      <c r="C154" s="17" t="s">
        <v>1798</v>
      </c>
      <c r="D154" s="17" t="s">
        <v>1764</v>
      </c>
      <c r="E154" s="16" t="n">
        <v>2020</v>
      </c>
      <c r="F154" s="17" t="s">
        <v>350</v>
      </c>
      <c r="G154" s="16" t="s">
        <v>199</v>
      </c>
      <c r="H154" s="23" t="s">
        <v>21</v>
      </c>
      <c r="I154" s="17" t="s">
        <v>328</v>
      </c>
      <c r="J154" s="17" t="s">
        <v>1799</v>
      </c>
      <c r="K154" s="17" t="s">
        <v>1074</v>
      </c>
      <c r="L154" s="17" t="s">
        <v>1800</v>
      </c>
      <c r="M154" s="17" t="s">
        <v>1801</v>
      </c>
      <c r="N154" s="17" t="s">
        <v>1802</v>
      </c>
      <c r="O154" s="17" t="s">
        <v>1078</v>
      </c>
      <c r="P154" s="17" t="s">
        <v>1803</v>
      </c>
      <c r="Q154" s="17" t="s">
        <v>1804</v>
      </c>
      <c r="R154" s="16" t="s">
        <v>103</v>
      </c>
      <c r="S154" s="19" t="s">
        <v>1772</v>
      </c>
      <c r="T154" s="19" t="s">
        <v>1805</v>
      </c>
      <c r="U154" s="19" t="s">
        <v>67</v>
      </c>
    </row>
    <row r="155" customFormat="false" ht="96" hidden="false" customHeight="true" outlineLevel="0" collapsed="false">
      <c r="A155" s="16" t="n">
        <v>151</v>
      </c>
      <c r="B155" s="16" t="s">
        <v>1806</v>
      </c>
      <c r="C155" s="17" t="s">
        <v>1807</v>
      </c>
      <c r="D155" s="17" t="s">
        <v>1808</v>
      </c>
      <c r="E155" s="16" t="n">
        <v>2020</v>
      </c>
      <c r="F155" s="17" t="s">
        <v>675</v>
      </c>
      <c r="G155" s="16" t="s">
        <v>148</v>
      </c>
      <c r="H155" s="23" t="s">
        <v>19</v>
      </c>
      <c r="I155" s="17" t="s">
        <v>328</v>
      </c>
      <c r="J155" s="17" t="s">
        <v>1809</v>
      </c>
      <c r="K155" s="17" t="s">
        <v>724</v>
      </c>
      <c r="L155" s="17" t="s">
        <v>1810</v>
      </c>
      <c r="M155" s="17" t="s">
        <v>1811</v>
      </c>
      <c r="N155" s="17" t="s">
        <v>1812</v>
      </c>
      <c r="O155" s="17" t="s">
        <v>1813</v>
      </c>
      <c r="P155" s="17" t="s">
        <v>1814</v>
      </c>
      <c r="Q155" s="17" t="s">
        <v>1815</v>
      </c>
      <c r="R155" s="16" t="s">
        <v>103</v>
      </c>
      <c r="S155" s="19" t="s">
        <v>1816</v>
      </c>
      <c r="T155" s="19" t="s">
        <v>1817</v>
      </c>
      <c r="U155" s="19" t="s">
        <v>67</v>
      </c>
    </row>
    <row r="156" customFormat="false" ht="96" hidden="false" customHeight="true" outlineLevel="0" collapsed="false">
      <c r="A156" s="16" t="n">
        <v>152</v>
      </c>
      <c r="B156" s="16" t="s">
        <v>1818</v>
      </c>
      <c r="C156" s="17" t="s">
        <v>1819</v>
      </c>
      <c r="D156" s="17" t="s">
        <v>1820</v>
      </c>
      <c r="E156" s="16" t="n">
        <v>2020</v>
      </c>
      <c r="F156" s="17" t="s">
        <v>1821</v>
      </c>
      <c r="G156" s="16" t="s">
        <v>1164</v>
      </c>
      <c r="H156" s="26" t="s">
        <v>17</v>
      </c>
      <c r="I156" s="17" t="s">
        <v>17</v>
      </c>
      <c r="J156" s="17" t="s">
        <v>447</v>
      </c>
      <c r="K156" s="17" t="s">
        <v>1822</v>
      </c>
      <c r="L156" s="17" t="s">
        <v>1823</v>
      </c>
      <c r="M156" s="17" t="s">
        <v>1824</v>
      </c>
      <c r="N156" s="17" t="s">
        <v>1825</v>
      </c>
      <c r="O156" s="17" t="s">
        <v>979</v>
      </c>
      <c r="P156" s="17" t="s">
        <v>1826</v>
      </c>
      <c r="Q156" s="17" t="s">
        <v>1827</v>
      </c>
      <c r="R156" s="16" t="s">
        <v>65</v>
      </c>
      <c r="S156" s="16"/>
      <c r="T156" s="19" t="s">
        <v>1828</v>
      </c>
      <c r="U156" s="19" t="s">
        <v>67</v>
      </c>
    </row>
    <row r="157" customFormat="false" ht="96" hidden="false" customHeight="true" outlineLevel="0" collapsed="false">
      <c r="A157" s="16" t="n">
        <v>153</v>
      </c>
      <c r="B157" s="16" t="s">
        <v>1829</v>
      </c>
      <c r="C157" s="17" t="s">
        <v>1830</v>
      </c>
      <c r="D157" s="17" t="s">
        <v>1831</v>
      </c>
      <c r="E157" s="16" t="n">
        <v>2020</v>
      </c>
      <c r="F157" s="17" t="s">
        <v>1832</v>
      </c>
      <c r="G157" s="16" t="s">
        <v>162</v>
      </c>
      <c r="H157" s="20" t="s">
        <v>25</v>
      </c>
      <c r="I157" s="17" t="s">
        <v>72</v>
      </c>
      <c r="J157" s="17" t="s">
        <v>1833</v>
      </c>
      <c r="K157" s="17" t="s">
        <v>1834</v>
      </c>
      <c r="L157" s="17" t="s">
        <v>1835</v>
      </c>
      <c r="M157" s="17" t="s">
        <v>1836</v>
      </c>
      <c r="N157" s="17" t="s">
        <v>76</v>
      </c>
      <c r="O157" s="17" t="s">
        <v>76</v>
      </c>
      <c r="P157" s="17" t="s">
        <v>1837</v>
      </c>
      <c r="Q157" s="17" t="s">
        <v>1838</v>
      </c>
      <c r="R157" s="16" t="s">
        <v>65</v>
      </c>
      <c r="S157" s="16"/>
      <c r="T157" s="19" t="s">
        <v>1839</v>
      </c>
      <c r="U157" s="19" t="s">
        <v>67</v>
      </c>
    </row>
    <row r="158" customFormat="false" ht="96" hidden="false" customHeight="true" outlineLevel="0" collapsed="false">
      <c r="A158" s="16" t="n">
        <v>154</v>
      </c>
      <c r="B158" s="16" t="s">
        <v>1840</v>
      </c>
      <c r="C158" s="17" t="s">
        <v>1841</v>
      </c>
      <c r="D158" s="17" t="s">
        <v>1842</v>
      </c>
      <c r="E158" s="16" t="n">
        <v>2020</v>
      </c>
      <c r="F158" s="17" t="s">
        <v>1843</v>
      </c>
      <c r="G158" s="16" t="s">
        <v>84</v>
      </c>
      <c r="H158" s="26" t="s">
        <v>17</v>
      </c>
      <c r="I158" s="17" t="s">
        <v>17</v>
      </c>
      <c r="J158" s="17" t="s">
        <v>1844</v>
      </c>
      <c r="K158" s="17" t="s">
        <v>1845</v>
      </c>
      <c r="L158" s="17" t="s">
        <v>1846</v>
      </c>
      <c r="M158" s="17" t="s">
        <v>1847</v>
      </c>
      <c r="N158" s="17" t="s">
        <v>1848</v>
      </c>
      <c r="O158" s="17" t="s">
        <v>334</v>
      </c>
      <c r="P158" s="17" t="s">
        <v>1849</v>
      </c>
      <c r="Q158" s="17" t="s">
        <v>1850</v>
      </c>
      <c r="R158" s="16" t="s">
        <v>65</v>
      </c>
      <c r="S158" s="16"/>
      <c r="T158" s="19" t="s">
        <v>1851</v>
      </c>
      <c r="U158" s="19" t="s">
        <v>67</v>
      </c>
    </row>
    <row r="159" customFormat="false" ht="96" hidden="false" customHeight="true" outlineLevel="0" collapsed="false">
      <c r="A159" s="16" t="n">
        <v>155</v>
      </c>
      <c r="B159" s="16" t="s">
        <v>1852</v>
      </c>
      <c r="C159" s="17" t="s">
        <v>1853</v>
      </c>
      <c r="D159" s="17" t="s">
        <v>1854</v>
      </c>
      <c r="E159" s="16" t="n">
        <v>2020</v>
      </c>
      <c r="F159" s="17" t="s">
        <v>350</v>
      </c>
      <c r="G159" s="16" t="s">
        <v>199</v>
      </c>
      <c r="H159" s="22" t="s">
        <v>9</v>
      </c>
      <c r="I159" s="17" t="s">
        <v>223</v>
      </c>
      <c r="J159" s="17" t="s">
        <v>1855</v>
      </c>
      <c r="K159" s="17" t="s">
        <v>1856</v>
      </c>
      <c r="L159" s="17" t="s">
        <v>1857</v>
      </c>
      <c r="M159" s="17" t="s">
        <v>1858</v>
      </c>
      <c r="N159" s="17" t="s">
        <v>319</v>
      </c>
      <c r="O159" s="17" t="s">
        <v>1859</v>
      </c>
      <c r="P159" s="17" t="s">
        <v>1860</v>
      </c>
      <c r="Q159" s="17" t="s">
        <v>1861</v>
      </c>
      <c r="R159" s="16" t="s">
        <v>103</v>
      </c>
      <c r="S159" s="19" t="s">
        <v>1862</v>
      </c>
      <c r="T159" s="19" t="s">
        <v>1863</v>
      </c>
      <c r="U159" s="19" t="s">
        <v>67</v>
      </c>
    </row>
    <row r="160" customFormat="false" ht="96" hidden="false" customHeight="true" outlineLevel="0" collapsed="false">
      <c r="A160" s="16" t="n">
        <v>156</v>
      </c>
      <c r="B160" s="16" t="s">
        <v>1864</v>
      </c>
      <c r="C160" s="17" t="s">
        <v>1865</v>
      </c>
      <c r="D160" s="17" t="s">
        <v>1866</v>
      </c>
      <c r="E160" s="16" t="n">
        <v>2020</v>
      </c>
      <c r="F160" s="17" t="s">
        <v>1753</v>
      </c>
      <c r="G160" s="16" t="s">
        <v>1164</v>
      </c>
      <c r="H160" s="26" t="s">
        <v>17</v>
      </c>
      <c r="I160" s="17" t="s">
        <v>17</v>
      </c>
      <c r="J160" s="17" t="s">
        <v>1844</v>
      </c>
      <c r="K160" s="17" t="s">
        <v>1867</v>
      </c>
      <c r="L160" s="17" t="s">
        <v>1868</v>
      </c>
      <c r="M160" s="17" t="s">
        <v>1869</v>
      </c>
      <c r="N160" s="17" t="s">
        <v>1870</v>
      </c>
      <c r="O160" s="17" t="s">
        <v>76</v>
      </c>
      <c r="P160" s="17" t="s">
        <v>1871</v>
      </c>
      <c r="Q160" s="17" t="s">
        <v>1872</v>
      </c>
      <c r="R160" s="16" t="s">
        <v>65</v>
      </c>
      <c r="S160" s="16"/>
      <c r="T160" s="19" t="s">
        <v>1873</v>
      </c>
      <c r="U160" s="19" t="s">
        <v>67</v>
      </c>
    </row>
    <row r="161" customFormat="false" ht="96" hidden="false" customHeight="true" outlineLevel="0" collapsed="false">
      <c r="A161" s="16" t="n">
        <v>157</v>
      </c>
      <c r="B161" s="16" t="s">
        <v>1874</v>
      </c>
      <c r="C161" s="17" t="s">
        <v>1875</v>
      </c>
      <c r="D161" s="17" t="s">
        <v>1876</v>
      </c>
      <c r="E161" s="16" t="n">
        <v>2020</v>
      </c>
      <c r="F161" s="17" t="s">
        <v>1208</v>
      </c>
      <c r="G161" s="16" t="s">
        <v>84</v>
      </c>
      <c r="H161" s="25" t="s">
        <v>7</v>
      </c>
      <c r="I161" s="17" t="s">
        <v>811</v>
      </c>
      <c r="J161" s="17" t="s">
        <v>1877</v>
      </c>
      <c r="K161" s="17" t="s">
        <v>1878</v>
      </c>
      <c r="L161" s="17" t="s">
        <v>1879</v>
      </c>
      <c r="M161" s="17" t="s">
        <v>1880</v>
      </c>
      <c r="N161" s="17" t="s">
        <v>1881</v>
      </c>
      <c r="O161" s="17" t="s">
        <v>1882</v>
      </c>
      <c r="P161" s="17" t="s">
        <v>1883</v>
      </c>
      <c r="Q161" s="17" t="s">
        <v>1884</v>
      </c>
      <c r="R161" s="16" t="s">
        <v>65</v>
      </c>
      <c r="S161" s="16"/>
      <c r="T161" s="19" t="s">
        <v>1885</v>
      </c>
      <c r="U161" s="19" t="s">
        <v>67</v>
      </c>
    </row>
    <row r="162" customFormat="false" ht="96" hidden="false" customHeight="true" outlineLevel="0" collapsed="false">
      <c r="A162" s="16" t="n">
        <v>158</v>
      </c>
      <c r="B162" s="16" t="s">
        <v>1886</v>
      </c>
      <c r="C162" s="17" t="s">
        <v>1887</v>
      </c>
      <c r="D162" s="17" t="s">
        <v>1888</v>
      </c>
      <c r="E162" s="16" t="n">
        <v>2020</v>
      </c>
      <c r="F162" s="17" t="s">
        <v>1889</v>
      </c>
      <c r="G162" s="16" t="s">
        <v>84</v>
      </c>
      <c r="H162" s="26" t="s">
        <v>17</v>
      </c>
      <c r="I162" s="17" t="s">
        <v>17</v>
      </c>
      <c r="J162" s="17" t="s">
        <v>1890</v>
      </c>
      <c r="K162" s="17" t="s">
        <v>1891</v>
      </c>
      <c r="L162" s="17" t="s">
        <v>1892</v>
      </c>
      <c r="M162" s="17" t="s">
        <v>1893</v>
      </c>
      <c r="N162" s="17" t="s">
        <v>1894</v>
      </c>
      <c r="O162" s="17" t="s">
        <v>1895</v>
      </c>
      <c r="P162" s="17" t="s">
        <v>1896</v>
      </c>
      <c r="Q162" s="17" t="s">
        <v>1897</v>
      </c>
      <c r="R162" s="16" t="s">
        <v>65</v>
      </c>
      <c r="S162" s="16"/>
      <c r="T162" s="19" t="s">
        <v>1898</v>
      </c>
      <c r="U162" s="19" t="s">
        <v>67</v>
      </c>
    </row>
    <row r="163" customFormat="false" ht="96" hidden="false" customHeight="true" outlineLevel="0" collapsed="false">
      <c r="A163" s="16" t="n">
        <v>159</v>
      </c>
      <c r="B163" s="16" t="s">
        <v>1899</v>
      </c>
      <c r="C163" s="17" t="s">
        <v>1900</v>
      </c>
      <c r="D163" s="17" t="s">
        <v>1107</v>
      </c>
      <c r="E163" s="16" t="n">
        <v>2020</v>
      </c>
      <c r="F163" s="17" t="s">
        <v>1901</v>
      </c>
      <c r="G163" s="16" t="s">
        <v>162</v>
      </c>
      <c r="H163" s="20" t="s">
        <v>25</v>
      </c>
      <c r="I163" s="17" t="s">
        <v>72</v>
      </c>
      <c r="J163" s="17" t="s">
        <v>1109</v>
      </c>
      <c r="K163" s="17" t="s">
        <v>1902</v>
      </c>
      <c r="L163" s="17" t="s">
        <v>1903</v>
      </c>
      <c r="M163" s="17" t="s">
        <v>1904</v>
      </c>
      <c r="N163" s="17" t="s">
        <v>1905</v>
      </c>
      <c r="O163" s="17" t="s">
        <v>76</v>
      </c>
      <c r="P163" s="17" t="s">
        <v>1906</v>
      </c>
      <c r="Q163" s="17" t="s">
        <v>1907</v>
      </c>
      <c r="R163" s="16" t="s">
        <v>65</v>
      </c>
      <c r="S163" s="16"/>
      <c r="T163" s="19" t="s">
        <v>1908</v>
      </c>
      <c r="U163" s="19" t="s">
        <v>67</v>
      </c>
    </row>
    <row r="164" customFormat="false" ht="96" hidden="false" customHeight="true" outlineLevel="0" collapsed="false">
      <c r="A164" s="16" t="n">
        <v>160</v>
      </c>
      <c r="B164" s="16" t="s">
        <v>1909</v>
      </c>
      <c r="C164" s="17" t="s">
        <v>1910</v>
      </c>
      <c r="D164" s="17" t="s">
        <v>1911</v>
      </c>
      <c r="E164" s="16" t="n">
        <v>2020</v>
      </c>
      <c r="F164" s="17" t="s">
        <v>71</v>
      </c>
      <c r="G164" s="16" t="s">
        <v>56</v>
      </c>
      <c r="H164" s="26" t="s">
        <v>17</v>
      </c>
      <c r="I164" s="17" t="s">
        <v>17</v>
      </c>
      <c r="J164" s="17" t="s">
        <v>1844</v>
      </c>
      <c r="K164" s="17" t="s">
        <v>1845</v>
      </c>
      <c r="L164" s="17" t="s">
        <v>1912</v>
      </c>
      <c r="M164" s="17" t="s">
        <v>1913</v>
      </c>
      <c r="N164" s="17" t="s">
        <v>1848</v>
      </c>
      <c r="O164" s="17" t="s">
        <v>979</v>
      </c>
      <c r="P164" s="17" t="s">
        <v>1914</v>
      </c>
      <c r="Q164" s="17" t="s">
        <v>1915</v>
      </c>
      <c r="R164" s="16" t="s">
        <v>65</v>
      </c>
      <c r="S164" s="16"/>
      <c r="T164" s="19" t="s">
        <v>1916</v>
      </c>
      <c r="U164" s="19" t="s">
        <v>67</v>
      </c>
    </row>
    <row r="165" customFormat="false" ht="96" hidden="false" customHeight="true" outlineLevel="0" collapsed="false">
      <c r="A165" s="16" t="n">
        <v>161</v>
      </c>
      <c r="B165" s="16" t="s">
        <v>1917</v>
      </c>
      <c r="C165" s="17" t="s">
        <v>1918</v>
      </c>
      <c r="D165" s="17" t="s">
        <v>1919</v>
      </c>
      <c r="E165" s="16" t="n">
        <v>2020</v>
      </c>
      <c r="F165" s="17" t="s">
        <v>209</v>
      </c>
      <c r="G165" s="16" t="s">
        <v>199</v>
      </c>
      <c r="H165" s="18" t="s">
        <v>23</v>
      </c>
      <c r="I165" s="17" t="s">
        <v>23</v>
      </c>
      <c r="J165" s="17" t="s">
        <v>1920</v>
      </c>
      <c r="K165" s="17" t="s">
        <v>1921</v>
      </c>
      <c r="L165" s="17" t="s">
        <v>1922</v>
      </c>
      <c r="M165" s="17" t="s">
        <v>1923</v>
      </c>
      <c r="N165" s="17" t="s">
        <v>1924</v>
      </c>
      <c r="O165" s="17" t="s">
        <v>76</v>
      </c>
      <c r="P165" s="17" t="s">
        <v>1925</v>
      </c>
      <c r="Q165" s="17" t="s">
        <v>1926</v>
      </c>
      <c r="R165" s="16" t="s">
        <v>65</v>
      </c>
      <c r="S165" s="16"/>
      <c r="T165" s="19" t="s">
        <v>1927</v>
      </c>
      <c r="U165" s="19" t="s">
        <v>67</v>
      </c>
    </row>
    <row r="166" customFormat="false" ht="96" hidden="false" customHeight="true" outlineLevel="0" collapsed="false">
      <c r="A166" s="16" t="n">
        <v>162</v>
      </c>
      <c r="B166" s="16" t="s">
        <v>1928</v>
      </c>
      <c r="C166" s="17" t="s">
        <v>1929</v>
      </c>
      <c r="D166" s="17" t="s">
        <v>1930</v>
      </c>
      <c r="E166" s="16" t="n">
        <v>2019</v>
      </c>
      <c r="F166" s="17" t="s">
        <v>1931</v>
      </c>
      <c r="G166" s="16" t="s">
        <v>446</v>
      </c>
      <c r="H166" s="21" t="s">
        <v>11</v>
      </c>
      <c r="I166" s="17" t="s">
        <v>125</v>
      </c>
      <c r="J166" s="17" t="s">
        <v>1932</v>
      </c>
      <c r="K166" s="17" t="s">
        <v>1933</v>
      </c>
      <c r="L166" s="17" t="s">
        <v>1934</v>
      </c>
      <c r="M166" s="17" t="s">
        <v>1935</v>
      </c>
      <c r="N166" s="17" t="s">
        <v>1936</v>
      </c>
      <c r="O166" s="17" t="s">
        <v>1937</v>
      </c>
      <c r="P166" s="17" t="s">
        <v>1938</v>
      </c>
      <c r="Q166" s="17" t="s">
        <v>1939</v>
      </c>
      <c r="R166" s="16" t="s">
        <v>65</v>
      </c>
      <c r="S166" s="16"/>
      <c r="T166" s="19" t="s">
        <v>1940</v>
      </c>
      <c r="U166" s="19" t="s">
        <v>67</v>
      </c>
    </row>
    <row r="167" customFormat="false" ht="96" hidden="false" customHeight="true" outlineLevel="0" collapsed="false">
      <c r="A167" s="16" t="n">
        <v>163</v>
      </c>
      <c r="B167" s="16" t="s">
        <v>1941</v>
      </c>
      <c r="C167" s="17" t="s">
        <v>1942</v>
      </c>
      <c r="D167" s="17" t="s">
        <v>1943</v>
      </c>
      <c r="E167" s="16" t="n">
        <v>2019</v>
      </c>
      <c r="F167" s="17" t="s">
        <v>1944</v>
      </c>
      <c r="G167" s="16" t="s">
        <v>148</v>
      </c>
      <c r="H167" s="20" t="s">
        <v>25</v>
      </c>
      <c r="I167" s="17" t="s">
        <v>72</v>
      </c>
      <c r="J167" s="17" t="s">
        <v>1945</v>
      </c>
      <c r="K167" s="17" t="s">
        <v>1946</v>
      </c>
      <c r="L167" s="17" t="s">
        <v>1947</v>
      </c>
      <c r="M167" s="17" t="s">
        <v>1948</v>
      </c>
      <c r="N167" s="17" t="s">
        <v>76</v>
      </c>
      <c r="O167" s="17" t="s">
        <v>76</v>
      </c>
      <c r="P167" s="17" t="s">
        <v>1949</v>
      </c>
      <c r="Q167" s="17" t="s">
        <v>1950</v>
      </c>
      <c r="R167" s="16" t="s">
        <v>65</v>
      </c>
      <c r="S167" s="16"/>
      <c r="T167" s="19" t="s">
        <v>1951</v>
      </c>
      <c r="U167" s="19" t="s">
        <v>67</v>
      </c>
    </row>
    <row r="168" customFormat="false" ht="96" hidden="false" customHeight="true" outlineLevel="0" collapsed="false">
      <c r="A168" s="16" t="n">
        <v>164</v>
      </c>
      <c r="B168" s="16" t="s">
        <v>1952</v>
      </c>
      <c r="C168" s="17" t="s">
        <v>1953</v>
      </c>
      <c r="D168" s="17" t="s">
        <v>1954</v>
      </c>
      <c r="E168" s="16" t="n">
        <v>2019</v>
      </c>
      <c r="F168" s="17" t="s">
        <v>237</v>
      </c>
      <c r="G168" s="16" t="s">
        <v>199</v>
      </c>
      <c r="H168" s="22" t="s">
        <v>9</v>
      </c>
      <c r="I168" s="17" t="s">
        <v>223</v>
      </c>
      <c r="J168" s="17" t="s">
        <v>1222</v>
      </c>
      <c r="K168" s="17" t="s">
        <v>1955</v>
      </c>
      <c r="L168" s="17" t="s">
        <v>1956</v>
      </c>
      <c r="M168" s="17" t="s">
        <v>1957</v>
      </c>
      <c r="N168" s="17" t="s">
        <v>1958</v>
      </c>
      <c r="O168" s="17" t="s">
        <v>1959</v>
      </c>
      <c r="P168" s="17" t="s">
        <v>1960</v>
      </c>
      <c r="Q168" s="17" t="s">
        <v>1961</v>
      </c>
      <c r="R168" s="16" t="s">
        <v>65</v>
      </c>
      <c r="S168" s="16"/>
      <c r="T168" s="19" t="s">
        <v>1962</v>
      </c>
      <c r="U168" s="19" t="s">
        <v>67</v>
      </c>
    </row>
    <row r="169" customFormat="false" ht="96" hidden="false" customHeight="true" outlineLevel="0" collapsed="false">
      <c r="A169" s="16" t="n">
        <v>165</v>
      </c>
      <c r="B169" s="16" t="s">
        <v>1963</v>
      </c>
      <c r="C169" s="17" t="s">
        <v>1964</v>
      </c>
      <c r="D169" s="17" t="s">
        <v>1965</v>
      </c>
      <c r="E169" s="16" t="n">
        <v>2019</v>
      </c>
      <c r="F169" s="17" t="s">
        <v>1966</v>
      </c>
      <c r="G169" s="16" t="s">
        <v>199</v>
      </c>
      <c r="H169" s="22" t="s">
        <v>9</v>
      </c>
      <c r="I169" s="17" t="s">
        <v>223</v>
      </c>
      <c r="J169" s="17" t="s">
        <v>1967</v>
      </c>
      <c r="K169" s="17" t="s">
        <v>1968</v>
      </c>
      <c r="L169" s="17" t="s">
        <v>1969</v>
      </c>
      <c r="M169" s="17" t="s">
        <v>1970</v>
      </c>
      <c r="N169" s="17" t="s">
        <v>1971</v>
      </c>
      <c r="O169" s="17" t="s">
        <v>1972</v>
      </c>
      <c r="P169" s="17" t="s">
        <v>1973</v>
      </c>
      <c r="Q169" s="17" t="s">
        <v>1974</v>
      </c>
      <c r="R169" s="16" t="s">
        <v>103</v>
      </c>
      <c r="S169" s="19" t="s">
        <v>1975</v>
      </c>
      <c r="T169" s="19" t="s">
        <v>1976</v>
      </c>
      <c r="U169" s="19" t="s">
        <v>67</v>
      </c>
    </row>
    <row r="170" customFormat="false" ht="96" hidden="false" customHeight="true" outlineLevel="0" collapsed="false">
      <c r="A170" s="16" t="n">
        <v>166</v>
      </c>
      <c r="B170" s="16" t="s">
        <v>1977</v>
      </c>
      <c r="C170" s="17" t="s">
        <v>1978</v>
      </c>
      <c r="D170" s="17" t="s">
        <v>1220</v>
      </c>
      <c r="E170" s="16" t="n">
        <v>2019</v>
      </c>
      <c r="F170" s="17" t="s">
        <v>1979</v>
      </c>
      <c r="G170" s="16" t="s">
        <v>446</v>
      </c>
      <c r="H170" s="25" t="s">
        <v>7</v>
      </c>
      <c r="I170" s="17" t="s">
        <v>811</v>
      </c>
      <c r="J170" s="17" t="s">
        <v>1980</v>
      </c>
      <c r="K170" s="17" t="s">
        <v>1981</v>
      </c>
      <c r="L170" s="17" t="s">
        <v>1982</v>
      </c>
      <c r="M170" s="17" t="s">
        <v>1983</v>
      </c>
      <c r="N170" s="17" t="s">
        <v>1984</v>
      </c>
      <c r="O170" s="17" t="s">
        <v>1592</v>
      </c>
      <c r="P170" s="17" t="s">
        <v>1985</v>
      </c>
      <c r="Q170" s="17" t="s">
        <v>1986</v>
      </c>
      <c r="R170" s="16" t="s">
        <v>65</v>
      </c>
      <c r="S170" s="16"/>
      <c r="T170" s="19" t="s">
        <v>1987</v>
      </c>
      <c r="U170" s="19" t="s">
        <v>67</v>
      </c>
    </row>
    <row r="171" customFormat="false" ht="96" hidden="false" customHeight="true" outlineLevel="0" collapsed="false">
      <c r="A171" s="16" t="n">
        <v>167</v>
      </c>
      <c r="B171" s="16" t="s">
        <v>1988</v>
      </c>
      <c r="C171" s="17" t="s">
        <v>1989</v>
      </c>
      <c r="D171" s="17" t="s">
        <v>1990</v>
      </c>
      <c r="E171" s="16" t="n">
        <v>2019</v>
      </c>
      <c r="F171" s="17" t="s">
        <v>1991</v>
      </c>
      <c r="G171" s="16" t="s">
        <v>162</v>
      </c>
      <c r="H171" s="20" t="s">
        <v>25</v>
      </c>
      <c r="I171" s="17" t="s">
        <v>72</v>
      </c>
      <c r="J171" s="17" t="s">
        <v>1992</v>
      </c>
      <c r="K171" s="17" t="s">
        <v>1993</v>
      </c>
      <c r="L171" s="17" t="s">
        <v>1994</v>
      </c>
      <c r="M171" s="17" t="s">
        <v>1995</v>
      </c>
      <c r="N171" s="17" t="s">
        <v>1996</v>
      </c>
      <c r="O171" s="17" t="s">
        <v>76</v>
      </c>
      <c r="P171" s="17" t="s">
        <v>1997</v>
      </c>
      <c r="Q171" s="17" t="s">
        <v>1998</v>
      </c>
      <c r="R171" s="16" t="s">
        <v>65</v>
      </c>
      <c r="S171" s="16"/>
      <c r="T171" s="19" t="s">
        <v>1999</v>
      </c>
      <c r="U171" s="19" t="s">
        <v>67</v>
      </c>
    </row>
    <row r="172" customFormat="false" ht="96" hidden="false" customHeight="true" outlineLevel="0" collapsed="false">
      <c r="A172" s="16" t="n">
        <v>168</v>
      </c>
      <c r="B172" s="16" t="s">
        <v>2000</v>
      </c>
      <c r="C172" s="17" t="s">
        <v>2001</v>
      </c>
      <c r="D172" s="17" t="s">
        <v>1888</v>
      </c>
      <c r="E172" s="16" t="n">
        <v>2019</v>
      </c>
      <c r="F172" s="17" t="s">
        <v>1843</v>
      </c>
      <c r="G172" s="16" t="s">
        <v>84</v>
      </c>
      <c r="H172" s="26" t="s">
        <v>17</v>
      </c>
      <c r="I172" s="17" t="s">
        <v>17</v>
      </c>
      <c r="J172" s="17" t="s">
        <v>2002</v>
      </c>
      <c r="K172" s="17" t="s">
        <v>2003</v>
      </c>
      <c r="L172" s="17" t="s">
        <v>2004</v>
      </c>
      <c r="M172" s="17" t="s">
        <v>2005</v>
      </c>
      <c r="N172" s="17" t="s">
        <v>2006</v>
      </c>
      <c r="O172" s="17" t="s">
        <v>2007</v>
      </c>
      <c r="P172" s="17" t="s">
        <v>2008</v>
      </c>
      <c r="Q172" s="17" t="s">
        <v>2009</v>
      </c>
      <c r="R172" s="16" t="s">
        <v>65</v>
      </c>
      <c r="S172" s="16"/>
      <c r="T172" s="19" t="s">
        <v>2010</v>
      </c>
      <c r="U172" s="19" t="s">
        <v>67</v>
      </c>
    </row>
    <row r="173" customFormat="false" ht="96" hidden="false" customHeight="true" outlineLevel="0" collapsed="false">
      <c r="A173" s="16" t="n">
        <v>169</v>
      </c>
      <c r="B173" s="16" t="s">
        <v>2011</v>
      </c>
      <c r="C173" s="17" t="s">
        <v>2012</v>
      </c>
      <c r="D173" s="17" t="s">
        <v>2013</v>
      </c>
      <c r="E173" s="16" t="n">
        <v>2019</v>
      </c>
      <c r="F173" s="17" t="s">
        <v>661</v>
      </c>
      <c r="G173" s="16" t="s">
        <v>199</v>
      </c>
      <c r="H173" s="22" t="s">
        <v>9</v>
      </c>
      <c r="I173" s="17" t="s">
        <v>223</v>
      </c>
      <c r="J173" s="17" t="s">
        <v>2014</v>
      </c>
      <c r="K173" s="17" t="s">
        <v>2015</v>
      </c>
      <c r="L173" s="17" t="s">
        <v>2016</v>
      </c>
      <c r="M173" s="17" t="s">
        <v>2017</v>
      </c>
      <c r="N173" s="17" t="s">
        <v>2018</v>
      </c>
      <c r="O173" s="17" t="s">
        <v>2019</v>
      </c>
      <c r="P173" s="17" t="s">
        <v>2020</v>
      </c>
      <c r="Q173" s="17" t="s">
        <v>2021</v>
      </c>
      <c r="R173" s="16" t="s">
        <v>65</v>
      </c>
      <c r="S173" s="16"/>
      <c r="T173" s="19" t="s">
        <v>2022</v>
      </c>
      <c r="U173" s="19" t="s">
        <v>67</v>
      </c>
    </row>
    <row r="174" customFormat="false" ht="96" hidden="false" customHeight="true" outlineLevel="0" collapsed="false">
      <c r="A174" s="16" t="n">
        <v>170</v>
      </c>
      <c r="B174" s="16" t="s">
        <v>2023</v>
      </c>
      <c r="C174" s="17" t="s">
        <v>2024</v>
      </c>
      <c r="D174" s="17" t="s">
        <v>2025</v>
      </c>
      <c r="E174" s="16" t="n">
        <v>2019</v>
      </c>
      <c r="F174" s="17" t="s">
        <v>772</v>
      </c>
      <c r="G174" s="16" t="s">
        <v>84</v>
      </c>
      <c r="H174" s="18" t="s">
        <v>23</v>
      </c>
      <c r="I174" s="17" t="s">
        <v>23</v>
      </c>
      <c r="J174" s="17" t="s">
        <v>2026</v>
      </c>
      <c r="K174" s="17" t="s">
        <v>2027</v>
      </c>
      <c r="L174" s="17" t="s">
        <v>2028</v>
      </c>
      <c r="M174" s="17" t="s">
        <v>2029</v>
      </c>
      <c r="N174" s="17" t="s">
        <v>2030</v>
      </c>
      <c r="O174" s="17" t="s">
        <v>76</v>
      </c>
      <c r="P174" s="17" t="s">
        <v>2031</v>
      </c>
      <c r="Q174" s="17" t="s">
        <v>2032</v>
      </c>
      <c r="R174" s="16" t="s">
        <v>65</v>
      </c>
      <c r="S174" s="16"/>
      <c r="T174" s="19" t="s">
        <v>2033</v>
      </c>
      <c r="U174" s="19" t="s">
        <v>67</v>
      </c>
    </row>
    <row r="175" customFormat="false" ht="96" hidden="false" customHeight="true" outlineLevel="0" collapsed="false">
      <c r="A175" s="16" t="n">
        <v>171</v>
      </c>
      <c r="B175" s="16" t="s">
        <v>2034</v>
      </c>
      <c r="C175" s="17" t="s">
        <v>2035</v>
      </c>
      <c r="D175" s="17" t="s">
        <v>2036</v>
      </c>
      <c r="E175" s="16" t="n">
        <v>2019</v>
      </c>
      <c r="F175" s="17" t="s">
        <v>327</v>
      </c>
      <c r="G175" s="16" t="s">
        <v>148</v>
      </c>
      <c r="H175" s="25" t="s">
        <v>7</v>
      </c>
      <c r="I175" s="17" t="s">
        <v>811</v>
      </c>
      <c r="J175" s="17" t="s">
        <v>2037</v>
      </c>
      <c r="K175" s="17" t="s">
        <v>2038</v>
      </c>
      <c r="L175" s="17" t="s">
        <v>2039</v>
      </c>
      <c r="M175" s="17" t="s">
        <v>2040</v>
      </c>
      <c r="N175" s="17" t="s">
        <v>2041</v>
      </c>
      <c r="O175" s="17" t="s">
        <v>817</v>
      </c>
      <c r="P175" s="17" t="s">
        <v>2042</v>
      </c>
      <c r="Q175" s="17" t="s">
        <v>2043</v>
      </c>
      <c r="R175" s="16" t="s">
        <v>65</v>
      </c>
      <c r="S175" s="16"/>
      <c r="T175" s="19" t="s">
        <v>2044</v>
      </c>
      <c r="U175" s="19" t="s">
        <v>67</v>
      </c>
    </row>
    <row r="176" customFormat="false" ht="96" hidden="false" customHeight="true" outlineLevel="0" collapsed="false">
      <c r="A176" s="16" t="n">
        <v>172</v>
      </c>
      <c r="B176" s="16" t="s">
        <v>2045</v>
      </c>
      <c r="C176" s="17" t="s">
        <v>2046</v>
      </c>
      <c r="D176" s="17" t="s">
        <v>2047</v>
      </c>
      <c r="E176" s="16" t="n">
        <v>2019</v>
      </c>
      <c r="F176" s="17" t="s">
        <v>2048</v>
      </c>
      <c r="G176" s="16" t="s">
        <v>199</v>
      </c>
      <c r="H176" s="25" t="s">
        <v>7</v>
      </c>
      <c r="I176" s="17" t="s">
        <v>811</v>
      </c>
      <c r="J176" s="17" t="s">
        <v>2049</v>
      </c>
      <c r="K176" s="17" t="s">
        <v>2050</v>
      </c>
      <c r="L176" s="17" t="s">
        <v>2051</v>
      </c>
      <c r="M176" s="17" t="s">
        <v>2052</v>
      </c>
      <c r="N176" s="17" t="s">
        <v>2053</v>
      </c>
      <c r="O176" s="17" t="s">
        <v>2054</v>
      </c>
      <c r="P176" s="17" t="s">
        <v>2055</v>
      </c>
      <c r="Q176" s="17" t="s">
        <v>2056</v>
      </c>
      <c r="R176" s="16" t="s">
        <v>65</v>
      </c>
      <c r="S176" s="16"/>
      <c r="T176" s="19" t="s">
        <v>2057</v>
      </c>
      <c r="U176" s="19" t="s">
        <v>67</v>
      </c>
    </row>
    <row r="177" customFormat="false" ht="96" hidden="false" customHeight="true" outlineLevel="0" collapsed="false">
      <c r="A177" s="16" t="n">
        <v>173</v>
      </c>
      <c r="B177" s="16" t="s">
        <v>2058</v>
      </c>
      <c r="C177" s="17" t="s">
        <v>2059</v>
      </c>
      <c r="D177" s="17" t="s">
        <v>2060</v>
      </c>
      <c r="E177" s="16" t="n">
        <v>2019</v>
      </c>
      <c r="F177" s="17" t="s">
        <v>2061</v>
      </c>
      <c r="G177" s="16" t="s">
        <v>1164</v>
      </c>
      <c r="H177" s="26" t="s">
        <v>17</v>
      </c>
      <c r="I177" s="17" t="s">
        <v>17</v>
      </c>
      <c r="J177" s="17" t="s">
        <v>1844</v>
      </c>
      <c r="K177" s="17" t="s">
        <v>1845</v>
      </c>
      <c r="L177" s="17" t="s">
        <v>2062</v>
      </c>
      <c r="M177" s="17" t="s">
        <v>2063</v>
      </c>
      <c r="N177" s="17" t="s">
        <v>2064</v>
      </c>
      <c r="O177" s="17" t="s">
        <v>334</v>
      </c>
      <c r="P177" s="17" t="s">
        <v>2065</v>
      </c>
      <c r="Q177" s="17" t="s">
        <v>2066</v>
      </c>
      <c r="R177" s="16" t="s">
        <v>65</v>
      </c>
      <c r="S177" s="16"/>
      <c r="T177" s="19" t="s">
        <v>2067</v>
      </c>
      <c r="U177" s="19" t="s">
        <v>67</v>
      </c>
    </row>
    <row r="178" customFormat="false" ht="96" hidden="false" customHeight="true" outlineLevel="0" collapsed="false">
      <c r="A178" s="16" t="n">
        <v>174</v>
      </c>
      <c r="B178" s="16" t="s">
        <v>2068</v>
      </c>
      <c r="C178" s="17" t="s">
        <v>2069</v>
      </c>
      <c r="D178" s="17" t="s">
        <v>2070</v>
      </c>
      <c r="E178" s="16" t="n">
        <v>2018</v>
      </c>
      <c r="F178" s="17" t="s">
        <v>350</v>
      </c>
      <c r="G178" s="16" t="s">
        <v>199</v>
      </c>
      <c r="H178" s="22" t="s">
        <v>9</v>
      </c>
      <c r="I178" s="17" t="s">
        <v>223</v>
      </c>
      <c r="J178" s="17" t="s">
        <v>2071</v>
      </c>
      <c r="K178" s="17" t="s">
        <v>2072</v>
      </c>
      <c r="L178" s="17" t="s">
        <v>2073</v>
      </c>
      <c r="M178" s="17" t="s">
        <v>2074</v>
      </c>
      <c r="N178" s="17" t="s">
        <v>437</v>
      </c>
      <c r="O178" s="17" t="s">
        <v>2075</v>
      </c>
      <c r="P178" s="17" t="s">
        <v>2076</v>
      </c>
      <c r="Q178" s="17" t="s">
        <v>2077</v>
      </c>
      <c r="R178" s="16" t="s">
        <v>65</v>
      </c>
      <c r="S178" s="16"/>
      <c r="T178" s="19" t="s">
        <v>2078</v>
      </c>
      <c r="U178" s="19" t="s">
        <v>67</v>
      </c>
    </row>
    <row r="179" customFormat="false" ht="96" hidden="false" customHeight="true" outlineLevel="0" collapsed="false">
      <c r="A179" s="16" t="n">
        <v>175</v>
      </c>
      <c r="B179" s="16" t="s">
        <v>2079</v>
      </c>
      <c r="C179" s="17" t="s">
        <v>2080</v>
      </c>
      <c r="D179" s="17" t="s">
        <v>2081</v>
      </c>
      <c r="E179" s="16" t="n">
        <v>2018</v>
      </c>
      <c r="F179" s="17" t="s">
        <v>71</v>
      </c>
      <c r="G179" s="16" t="s">
        <v>56</v>
      </c>
      <c r="H179" s="25" t="s">
        <v>7</v>
      </c>
      <c r="I179" s="17" t="s">
        <v>811</v>
      </c>
      <c r="J179" s="17" t="s">
        <v>2082</v>
      </c>
      <c r="K179" s="17" t="s">
        <v>2083</v>
      </c>
      <c r="L179" s="17" t="s">
        <v>2084</v>
      </c>
      <c r="M179" s="17" t="s">
        <v>2085</v>
      </c>
      <c r="N179" s="17" t="s">
        <v>2041</v>
      </c>
      <c r="O179" s="17" t="s">
        <v>2086</v>
      </c>
      <c r="P179" s="17" t="s">
        <v>2087</v>
      </c>
      <c r="Q179" s="17" t="s">
        <v>2088</v>
      </c>
      <c r="R179" s="16" t="s">
        <v>65</v>
      </c>
      <c r="S179" s="16"/>
      <c r="T179" s="19" t="s">
        <v>2089</v>
      </c>
      <c r="U179" s="19" t="s">
        <v>67</v>
      </c>
    </row>
    <row r="180" customFormat="false" ht="96" hidden="false" customHeight="true" outlineLevel="0" collapsed="false">
      <c r="A180" s="16" t="n">
        <v>176</v>
      </c>
      <c r="B180" s="16" t="s">
        <v>2090</v>
      </c>
      <c r="C180" s="17" t="s">
        <v>2091</v>
      </c>
      <c r="D180" s="17" t="s">
        <v>2092</v>
      </c>
      <c r="E180" s="16" t="n">
        <v>2018</v>
      </c>
      <c r="F180" s="17" t="s">
        <v>237</v>
      </c>
      <c r="G180" s="16" t="s">
        <v>199</v>
      </c>
      <c r="H180" s="24" t="s">
        <v>15</v>
      </c>
      <c r="I180" s="17" t="s">
        <v>592</v>
      </c>
      <c r="J180" s="17" t="s">
        <v>2093</v>
      </c>
      <c r="K180" s="17" t="s">
        <v>2094</v>
      </c>
      <c r="L180" s="17" t="s">
        <v>2095</v>
      </c>
      <c r="M180" s="17" t="s">
        <v>2096</v>
      </c>
      <c r="N180" s="17" t="s">
        <v>1213</v>
      </c>
      <c r="O180" s="17" t="s">
        <v>1282</v>
      </c>
      <c r="P180" s="17" t="s">
        <v>2097</v>
      </c>
      <c r="Q180" s="17" t="s">
        <v>2098</v>
      </c>
      <c r="R180" s="16" t="s">
        <v>65</v>
      </c>
      <c r="S180" s="16"/>
      <c r="T180" s="19" t="s">
        <v>2099</v>
      </c>
      <c r="U180" s="19" t="s">
        <v>67</v>
      </c>
    </row>
    <row r="181" customFormat="false" ht="96" hidden="false" customHeight="true" outlineLevel="0" collapsed="false">
      <c r="A181" s="16" t="n">
        <v>177</v>
      </c>
      <c r="B181" s="16" t="s">
        <v>2100</v>
      </c>
      <c r="C181" s="17" t="s">
        <v>2101</v>
      </c>
      <c r="D181" s="17" t="s">
        <v>2102</v>
      </c>
      <c r="E181" s="16" t="n">
        <v>2018</v>
      </c>
      <c r="F181" s="17" t="s">
        <v>2103</v>
      </c>
      <c r="G181" s="16" t="s">
        <v>148</v>
      </c>
      <c r="H181" s="20" t="s">
        <v>25</v>
      </c>
      <c r="I181" s="17" t="s">
        <v>72</v>
      </c>
      <c r="J181" s="17" t="s">
        <v>2104</v>
      </c>
      <c r="K181" s="17" t="s">
        <v>2105</v>
      </c>
      <c r="L181" s="17" t="s">
        <v>2106</v>
      </c>
      <c r="M181" s="17" t="s">
        <v>2107</v>
      </c>
      <c r="N181" s="17" t="s">
        <v>2108</v>
      </c>
      <c r="O181" s="17" t="s">
        <v>76</v>
      </c>
      <c r="P181" s="17" t="s">
        <v>2109</v>
      </c>
      <c r="Q181" s="17" t="s">
        <v>2110</v>
      </c>
      <c r="R181" s="16" t="s">
        <v>65</v>
      </c>
      <c r="S181" s="16"/>
      <c r="T181" s="19" t="s">
        <v>2111</v>
      </c>
      <c r="U181" s="19" t="s">
        <v>67</v>
      </c>
    </row>
    <row r="182" customFormat="false" ht="96" hidden="false" customHeight="true" outlineLevel="0" collapsed="false">
      <c r="A182" s="16" t="n">
        <v>178</v>
      </c>
      <c r="B182" s="16" t="s">
        <v>2112</v>
      </c>
      <c r="C182" s="17" t="s">
        <v>2113</v>
      </c>
      <c r="D182" s="17" t="s">
        <v>2114</v>
      </c>
      <c r="E182" s="16" t="n">
        <v>2018</v>
      </c>
      <c r="F182" s="17" t="s">
        <v>83</v>
      </c>
      <c r="G182" s="16" t="s">
        <v>84</v>
      </c>
      <c r="H182" s="24" t="s">
        <v>15</v>
      </c>
      <c r="I182" s="17" t="s">
        <v>592</v>
      </c>
      <c r="J182" s="17" t="s">
        <v>2115</v>
      </c>
      <c r="K182" s="17" t="s">
        <v>2116</v>
      </c>
      <c r="L182" s="17" t="s">
        <v>2117</v>
      </c>
      <c r="M182" s="17" t="s">
        <v>2118</v>
      </c>
      <c r="N182" s="17" t="s">
        <v>2119</v>
      </c>
      <c r="O182" s="17" t="s">
        <v>2120</v>
      </c>
      <c r="P182" s="17" t="s">
        <v>2121</v>
      </c>
      <c r="Q182" s="17" t="s">
        <v>2122</v>
      </c>
      <c r="R182" s="16" t="s">
        <v>65</v>
      </c>
      <c r="S182" s="16"/>
      <c r="T182" s="19" t="s">
        <v>2123</v>
      </c>
      <c r="U182" s="19" t="s">
        <v>67</v>
      </c>
    </row>
    <row r="183" customFormat="false" ht="96" hidden="false" customHeight="true" outlineLevel="0" collapsed="false">
      <c r="A183" s="16" t="n">
        <v>179</v>
      </c>
      <c r="B183" s="16" t="s">
        <v>2124</v>
      </c>
      <c r="C183" s="17" t="s">
        <v>2125</v>
      </c>
      <c r="D183" s="17" t="s">
        <v>2047</v>
      </c>
      <c r="E183" s="16" t="n">
        <v>2018</v>
      </c>
      <c r="F183" s="17" t="s">
        <v>2126</v>
      </c>
      <c r="G183" s="16" t="s">
        <v>446</v>
      </c>
      <c r="H183" s="25" t="s">
        <v>7</v>
      </c>
      <c r="I183" s="17" t="s">
        <v>811</v>
      </c>
      <c r="J183" s="17" t="s">
        <v>2127</v>
      </c>
      <c r="K183" s="17" t="s">
        <v>2128</v>
      </c>
      <c r="L183" s="17" t="s">
        <v>2129</v>
      </c>
      <c r="M183" s="17" t="s">
        <v>2130</v>
      </c>
      <c r="N183" s="17" t="s">
        <v>2131</v>
      </c>
      <c r="O183" s="17" t="s">
        <v>2132</v>
      </c>
      <c r="P183" s="17" t="s">
        <v>2133</v>
      </c>
      <c r="Q183" s="17" t="s">
        <v>2134</v>
      </c>
      <c r="R183" s="16" t="s">
        <v>65</v>
      </c>
      <c r="S183" s="16"/>
      <c r="T183" s="19" t="s">
        <v>2135</v>
      </c>
      <c r="U183" s="19" t="s">
        <v>67</v>
      </c>
    </row>
    <row r="184" customFormat="false" ht="96" hidden="false" customHeight="true" outlineLevel="0" collapsed="false">
      <c r="A184" s="16" t="n">
        <v>180</v>
      </c>
      <c r="B184" s="16" t="s">
        <v>2136</v>
      </c>
      <c r="C184" s="17" t="s">
        <v>2137</v>
      </c>
      <c r="D184" s="17" t="s">
        <v>2138</v>
      </c>
      <c r="E184" s="16" t="n">
        <v>2018</v>
      </c>
      <c r="F184" s="17" t="s">
        <v>71</v>
      </c>
      <c r="G184" s="16" t="s">
        <v>56</v>
      </c>
      <c r="H184" s="21" t="s">
        <v>11</v>
      </c>
      <c r="I184" s="17" t="s">
        <v>125</v>
      </c>
      <c r="J184" s="17" t="s">
        <v>1980</v>
      </c>
      <c r="K184" s="17" t="s">
        <v>1485</v>
      </c>
      <c r="L184" s="17" t="s">
        <v>2139</v>
      </c>
      <c r="M184" s="17" t="s">
        <v>2140</v>
      </c>
      <c r="N184" s="17" t="s">
        <v>2141</v>
      </c>
      <c r="O184" s="17" t="s">
        <v>2142</v>
      </c>
      <c r="P184" s="17" t="s">
        <v>2143</v>
      </c>
      <c r="Q184" s="17" t="s">
        <v>2144</v>
      </c>
      <c r="R184" s="16" t="s">
        <v>65</v>
      </c>
      <c r="S184" s="16"/>
      <c r="T184" s="19" t="s">
        <v>2145</v>
      </c>
      <c r="U184" s="19" t="s">
        <v>67</v>
      </c>
    </row>
    <row r="185" customFormat="false" ht="96" hidden="false" customHeight="true" outlineLevel="0" collapsed="false">
      <c r="A185" s="16" t="n">
        <v>181</v>
      </c>
      <c r="B185" s="16" t="s">
        <v>2146</v>
      </c>
      <c r="C185" s="17" t="s">
        <v>2147</v>
      </c>
      <c r="D185" s="17" t="s">
        <v>2148</v>
      </c>
      <c r="E185" s="16" t="n">
        <v>2018</v>
      </c>
      <c r="F185" s="17" t="s">
        <v>350</v>
      </c>
      <c r="G185" s="16" t="s">
        <v>199</v>
      </c>
      <c r="H185" s="22" t="s">
        <v>9</v>
      </c>
      <c r="I185" s="17" t="s">
        <v>223</v>
      </c>
      <c r="J185" s="17" t="s">
        <v>2149</v>
      </c>
      <c r="K185" s="17" t="s">
        <v>2150</v>
      </c>
      <c r="L185" s="17" t="s">
        <v>2151</v>
      </c>
      <c r="M185" s="17" t="s">
        <v>2152</v>
      </c>
      <c r="N185" s="17" t="s">
        <v>2153</v>
      </c>
      <c r="O185" s="17" t="s">
        <v>2154</v>
      </c>
      <c r="P185" s="17" t="s">
        <v>2155</v>
      </c>
      <c r="Q185" s="17" t="s">
        <v>2156</v>
      </c>
      <c r="R185" s="16" t="s">
        <v>65</v>
      </c>
      <c r="S185" s="16"/>
      <c r="T185" s="19" t="s">
        <v>2157</v>
      </c>
      <c r="U185" s="19" t="s">
        <v>67</v>
      </c>
    </row>
    <row r="186" customFormat="false" ht="96" hidden="false" customHeight="true" outlineLevel="0" collapsed="false">
      <c r="A186" s="16" t="n">
        <v>182</v>
      </c>
      <c r="B186" s="16" t="s">
        <v>2158</v>
      </c>
      <c r="C186" s="17" t="s">
        <v>2159</v>
      </c>
      <c r="D186" s="17" t="s">
        <v>2160</v>
      </c>
      <c r="E186" s="16" t="n">
        <v>2018</v>
      </c>
      <c r="F186" s="17" t="s">
        <v>209</v>
      </c>
      <c r="G186" s="16" t="s">
        <v>199</v>
      </c>
      <c r="H186" s="22" t="s">
        <v>9</v>
      </c>
      <c r="I186" s="17" t="s">
        <v>223</v>
      </c>
      <c r="J186" s="17" t="s">
        <v>2161</v>
      </c>
      <c r="K186" s="17" t="s">
        <v>2162</v>
      </c>
      <c r="L186" s="17" t="s">
        <v>2163</v>
      </c>
      <c r="M186" s="17" t="s">
        <v>2164</v>
      </c>
      <c r="N186" s="17" t="s">
        <v>2165</v>
      </c>
      <c r="O186" s="17" t="s">
        <v>2166</v>
      </c>
      <c r="P186" s="17" t="s">
        <v>2167</v>
      </c>
      <c r="Q186" s="17" t="s">
        <v>2168</v>
      </c>
      <c r="R186" s="16" t="s">
        <v>65</v>
      </c>
      <c r="S186" s="16"/>
      <c r="T186" s="19" t="s">
        <v>2169</v>
      </c>
      <c r="U186" s="19" t="s">
        <v>67</v>
      </c>
    </row>
    <row r="187" customFormat="false" ht="96" hidden="false" customHeight="true" outlineLevel="0" collapsed="false">
      <c r="A187" s="16" t="n">
        <v>183</v>
      </c>
      <c r="B187" s="16" t="s">
        <v>2170</v>
      </c>
      <c r="C187" s="17" t="s">
        <v>2171</v>
      </c>
      <c r="D187" s="17" t="s">
        <v>2172</v>
      </c>
      <c r="E187" s="16" t="n">
        <v>2018</v>
      </c>
      <c r="F187" s="17" t="s">
        <v>2173</v>
      </c>
      <c r="G187" s="16" t="s">
        <v>1164</v>
      </c>
      <c r="H187" s="24" t="s">
        <v>15</v>
      </c>
      <c r="I187" s="17" t="s">
        <v>592</v>
      </c>
      <c r="J187" s="17" t="s">
        <v>2174</v>
      </c>
      <c r="K187" s="17" t="s">
        <v>2175</v>
      </c>
      <c r="L187" s="17" t="s">
        <v>2176</v>
      </c>
      <c r="M187" s="17" t="s">
        <v>2177</v>
      </c>
      <c r="N187" s="17" t="s">
        <v>2178</v>
      </c>
      <c r="O187" s="17" t="s">
        <v>2179</v>
      </c>
      <c r="P187" s="17" t="s">
        <v>2180</v>
      </c>
      <c r="Q187" s="17" t="s">
        <v>2181</v>
      </c>
      <c r="R187" s="16" t="s">
        <v>103</v>
      </c>
      <c r="S187" s="19" t="s">
        <v>2182</v>
      </c>
      <c r="T187" s="19" t="s">
        <v>2183</v>
      </c>
      <c r="U187" s="19" t="s">
        <v>67</v>
      </c>
    </row>
    <row r="188" customFormat="false" ht="96" hidden="false" customHeight="true" outlineLevel="0" collapsed="false">
      <c r="A188" s="16" t="n">
        <v>184</v>
      </c>
      <c r="B188" s="16" t="s">
        <v>2184</v>
      </c>
      <c r="C188" s="17" t="s">
        <v>2185</v>
      </c>
      <c r="D188" s="17" t="s">
        <v>2186</v>
      </c>
      <c r="E188" s="16" t="n">
        <v>2018</v>
      </c>
      <c r="F188" s="17" t="s">
        <v>2061</v>
      </c>
      <c r="G188" s="16" t="s">
        <v>1164</v>
      </c>
      <c r="H188" s="26" t="s">
        <v>17</v>
      </c>
      <c r="I188" s="17" t="s">
        <v>17</v>
      </c>
      <c r="J188" s="17" t="s">
        <v>2187</v>
      </c>
      <c r="K188" s="17" t="s">
        <v>2188</v>
      </c>
      <c r="L188" s="17" t="s">
        <v>2189</v>
      </c>
      <c r="M188" s="17" t="s">
        <v>2190</v>
      </c>
      <c r="N188" s="17" t="s">
        <v>2191</v>
      </c>
      <c r="O188" s="17" t="s">
        <v>2007</v>
      </c>
      <c r="P188" s="17" t="s">
        <v>2192</v>
      </c>
      <c r="Q188" s="17" t="s">
        <v>2193</v>
      </c>
      <c r="R188" s="16" t="s">
        <v>65</v>
      </c>
      <c r="S188" s="16"/>
      <c r="T188" s="19" t="s">
        <v>2194</v>
      </c>
      <c r="U188" s="19" t="s">
        <v>67</v>
      </c>
    </row>
    <row r="189" customFormat="false" ht="96" hidden="false" customHeight="true" outlineLevel="0" collapsed="false">
      <c r="A189" s="16" t="n">
        <v>185</v>
      </c>
      <c r="B189" s="16" t="s">
        <v>2195</v>
      </c>
      <c r="C189" s="17" t="s">
        <v>2196</v>
      </c>
      <c r="D189" s="17" t="s">
        <v>2197</v>
      </c>
      <c r="E189" s="16" t="n">
        <v>2018</v>
      </c>
      <c r="F189" s="17" t="s">
        <v>350</v>
      </c>
      <c r="G189" s="16" t="s">
        <v>199</v>
      </c>
      <c r="H189" s="25" t="s">
        <v>5</v>
      </c>
      <c r="I189" s="17" t="s">
        <v>811</v>
      </c>
      <c r="J189" s="17" t="s">
        <v>2198</v>
      </c>
      <c r="K189" s="17" t="s">
        <v>2199</v>
      </c>
      <c r="L189" s="17" t="s">
        <v>2200</v>
      </c>
      <c r="M189" s="17" t="s">
        <v>2201</v>
      </c>
      <c r="N189" s="17" t="s">
        <v>2202</v>
      </c>
      <c r="O189" s="17" t="s">
        <v>2203</v>
      </c>
      <c r="P189" s="17" t="s">
        <v>2204</v>
      </c>
      <c r="Q189" s="17" t="s">
        <v>2205</v>
      </c>
      <c r="R189" s="16" t="s">
        <v>65</v>
      </c>
      <c r="S189" s="16"/>
      <c r="T189" s="19" t="s">
        <v>2206</v>
      </c>
      <c r="U189" s="19" t="s">
        <v>67</v>
      </c>
    </row>
    <row r="190" customFormat="false" ht="96" hidden="false" customHeight="true" outlineLevel="0" collapsed="false">
      <c r="A190" s="16" t="n">
        <v>186</v>
      </c>
      <c r="B190" s="16" t="s">
        <v>2207</v>
      </c>
      <c r="C190" s="17" t="s">
        <v>2208</v>
      </c>
      <c r="D190" s="17" t="s">
        <v>2209</v>
      </c>
      <c r="E190" s="16" t="n">
        <v>2018</v>
      </c>
      <c r="F190" s="17" t="s">
        <v>2210</v>
      </c>
      <c r="G190" s="16" t="s">
        <v>84</v>
      </c>
      <c r="H190" s="25" t="s">
        <v>5</v>
      </c>
      <c r="I190" s="17" t="s">
        <v>811</v>
      </c>
      <c r="J190" s="17" t="s">
        <v>2211</v>
      </c>
      <c r="K190" s="17" t="s">
        <v>2212</v>
      </c>
      <c r="L190" s="17" t="s">
        <v>2213</v>
      </c>
      <c r="M190" s="17" t="s">
        <v>2214</v>
      </c>
      <c r="N190" s="17" t="s">
        <v>2215</v>
      </c>
      <c r="O190" s="17" t="s">
        <v>2216</v>
      </c>
      <c r="P190" s="17" t="s">
        <v>2217</v>
      </c>
      <c r="Q190" s="17" t="s">
        <v>2218</v>
      </c>
      <c r="R190" s="16" t="s">
        <v>65</v>
      </c>
      <c r="S190" s="16"/>
      <c r="T190" s="19" t="s">
        <v>2219</v>
      </c>
      <c r="U190" s="19" t="s">
        <v>67</v>
      </c>
    </row>
    <row r="191" customFormat="false" ht="96" hidden="false" customHeight="true" outlineLevel="0" collapsed="false">
      <c r="A191" s="16" t="n">
        <v>187</v>
      </c>
      <c r="B191" s="16" t="s">
        <v>2220</v>
      </c>
      <c r="C191" s="17" t="s">
        <v>2221</v>
      </c>
      <c r="D191" s="17" t="s">
        <v>2222</v>
      </c>
      <c r="E191" s="16" t="n">
        <v>2017</v>
      </c>
      <c r="F191" s="17" t="s">
        <v>661</v>
      </c>
      <c r="G191" s="16" t="s">
        <v>199</v>
      </c>
      <c r="H191" s="21" t="s">
        <v>11</v>
      </c>
      <c r="I191" s="17" t="s">
        <v>125</v>
      </c>
      <c r="J191" s="17" t="s">
        <v>2223</v>
      </c>
      <c r="K191" s="17" t="s">
        <v>2224</v>
      </c>
      <c r="L191" s="17" t="s">
        <v>2225</v>
      </c>
      <c r="M191" s="17" t="s">
        <v>2226</v>
      </c>
      <c r="N191" s="17" t="s">
        <v>2227</v>
      </c>
      <c r="O191" s="17" t="s">
        <v>2228</v>
      </c>
      <c r="P191" s="17" t="s">
        <v>2229</v>
      </c>
      <c r="Q191" s="17" t="s">
        <v>2230</v>
      </c>
      <c r="R191" s="16" t="s">
        <v>65</v>
      </c>
      <c r="S191" s="16"/>
      <c r="T191" s="19" t="s">
        <v>2231</v>
      </c>
      <c r="U191" s="19" t="s">
        <v>67</v>
      </c>
    </row>
    <row r="192" customFormat="false" ht="96" hidden="false" customHeight="true" outlineLevel="0" collapsed="false">
      <c r="A192" s="16" t="n">
        <v>188</v>
      </c>
      <c r="B192" s="16" t="s">
        <v>2232</v>
      </c>
      <c r="C192" s="17" t="s">
        <v>2233</v>
      </c>
      <c r="D192" s="17" t="s">
        <v>2234</v>
      </c>
      <c r="E192" s="16" t="n">
        <v>2017</v>
      </c>
      <c r="F192" s="17" t="s">
        <v>237</v>
      </c>
      <c r="G192" s="16" t="s">
        <v>199</v>
      </c>
      <c r="H192" s="22" t="s">
        <v>9</v>
      </c>
      <c r="I192" s="17" t="s">
        <v>223</v>
      </c>
      <c r="J192" s="17" t="s">
        <v>2235</v>
      </c>
      <c r="K192" s="17" t="s">
        <v>2236</v>
      </c>
      <c r="L192" s="17" t="s">
        <v>2237</v>
      </c>
      <c r="M192" s="17" t="s">
        <v>2238</v>
      </c>
      <c r="N192" s="17" t="s">
        <v>2239</v>
      </c>
      <c r="O192" s="17" t="s">
        <v>2240</v>
      </c>
      <c r="P192" s="17" t="s">
        <v>2241</v>
      </c>
      <c r="Q192" s="17" t="s">
        <v>2242</v>
      </c>
      <c r="R192" s="16" t="s">
        <v>65</v>
      </c>
      <c r="S192" s="16"/>
      <c r="T192" s="19" t="s">
        <v>2243</v>
      </c>
      <c r="U192" s="19" t="s">
        <v>67</v>
      </c>
    </row>
    <row r="193" customFormat="false" ht="96" hidden="false" customHeight="true" outlineLevel="0" collapsed="false">
      <c r="A193" s="16" t="n">
        <v>189</v>
      </c>
      <c r="B193" s="16" t="s">
        <v>2244</v>
      </c>
      <c r="C193" s="17" t="s">
        <v>2245</v>
      </c>
      <c r="D193" s="17" t="s">
        <v>2246</v>
      </c>
      <c r="E193" s="16" t="n">
        <v>2017</v>
      </c>
      <c r="F193" s="17" t="s">
        <v>557</v>
      </c>
      <c r="G193" s="16" t="s">
        <v>446</v>
      </c>
      <c r="H193" s="23" t="s">
        <v>21</v>
      </c>
      <c r="I193" s="17" t="s">
        <v>328</v>
      </c>
      <c r="J193" s="17" t="s">
        <v>2247</v>
      </c>
      <c r="K193" s="17" t="s">
        <v>2248</v>
      </c>
      <c r="L193" s="17" t="s">
        <v>2249</v>
      </c>
      <c r="M193" s="17" t="s">
        <v>2250</v>
      </c>
      <c r="N193" s="17" t="s">
        <v>2251</v>
      </c>
      <c r="O193" s="17" t="s">
        <v>76</v>
      </c>
      <c r="P193" s="17" t="s">
        <v>2252</v>
      </c>
      <c r="Q193" s="17" t="s">
        <v>2253</v>
      </c>
      <c r="R193" s="16" t="s">
        <v>65</v>
      </c>
      <c r="S193" s="16"/>
      <c r="T193" s="19" t="s">
        <v>2254</v>
      </c>
      <c r="U193" s="19" t="s">
        <v>67</v>
      </c>
    </row>
    <row r="194" customFormat="false" ht="96" hidden="false" customHeight="true" outlineLevel="0" collapsed="false">
      <c r="A194" s="16" t="n">
        <v>190</v>
      </c>
      <c r="B194" s="16" t="s">
        <v>2255</v>
      </c>
      <c r="C194" s="17" t="s">
        <v>2256</v>
      </c>
      <c r="D194" s="17" t="s">
        <v>2257</v>
      </c>
      <c r="E194" s="16" t="n">
        <v>2017</v>
      </c>
      <c r="F194" s="17" t="s">
        <v>388</v>
      </c>
      <c r="G194" s="16" t="s">
        <v>148</v>
      </c>
      <c r="H194" s="25" t="s">
        <v>5</v>
      </c>
      <c r="I194" s="17" t="s">
        <v>811</v>
      </c>
      <c r="J194" s="17" t="s">
        <v>2258</v>
      </c>
      <c r="K194" s="17" t="s">
        <v>2259</v>
      </c>
      <c r="L194" s="17" t="s">
        <v>2260</v>
      </c>
      <c r="M194" s="17" t="s">
        <v>2261</v>
      </c>
      <c r="N194" s="17" t="s">
        <v>2262</v>
      </c>
      <c r="O194" s="17" t="s">
        <v>2263</v>
      </c>
      <c r="P194" s="17" t="s">
        <v>2264</v>
      </c>
      <c r="Q194" s="17" t="s">
        <v>2265</v>
      </c>
      <c r="R194" s="16" t="s">
        <v>65</v>
      </c>
      <c r="S194" s="16"/>
      <c r="T194" s="19" t="s">
        <v>2266</v>
      </c>
      <c r="U194" s="19" t="s">
        <v>67</v>
      </c>
    </row>
    <row r="195" customFormat="false" ht="96" hidden="false" customHeight="true" outlineLevel="0" collapsed="false">
      <c r="A195" s="16" t="n">
        <v>191</v>
      </c>
      <c r="B195" s="16" t="s">
        <v>2267</v>
      </c>
      <c r="C195" s="17" t="s">
        <v>2268</v>
      </c>
      <c r="D195" s="17" t="s">
        <v>2269</v>
      </c>
      <c r="E195" s="16" t="n">
        <v>2017</v>
      </c>
      <c r="F195" s="17" t="s">
        <v>1277</v>
      </c>
      <c r="G195" s="16" t="s">
        <v>1164</v>
      </c>
      <c r="H195" s="26" t="s">
        <v>17</v>
      </c>
      <c r="I195" s="17" t="s">
        <v>17</v>
      </c>
      <c r="J195" s="17" t="s">
        <v>2270</v>
      </c>
      <c r="K195" s="17" t="s">
        <v>2271</v>
      </c>
      <c r="L195" s="17" t="s">
        <v>2272</v>
      </c>
      <c r="M195" s="17" t="s">
        <v>2273</v>
      </c>
      <c r="N195" s="17" t="s">
        <v>2274</v>
      </c>
      <c r="O195" s="17" t="s">
        <v>2007</v>
      </c>
      <c r="P195" s="17" t="s">
        <v>2275</v>
      </c>
      <c r="Q195" s="17" t="s">
        <v>2276</v>
      </c>
      <c r="R195" s="16" t="s">
        <v>65</v>
      </c>
      <c r="S195" s="16"/>
      <c r="T195" s="19" t="s">
        <v>2277</v>
      </c>
      <c r="U195" s="19" t="s">
        <v>67</v>
      </c>
    </row>
    <row r="196" customFormat="false" ht="96" hidden="false" customHeight="true" outlineLevel="0" collapsed="false">
      <c r="A196" s="16" t="n">
        <v>192</v>
      </c>
      <c r="B196" s="16" t="s">
        <v>2278</v>
      </c>
      <c r="C196" s="17" t="s">
        <v>2279</v>
      </c>
      <c r="D196" s="17" t="s">
        <v>1930</v>
      </c>
      <c r="E196" s="16" t="n">
        <v>2016</v>
      </c>
      <c r="F196" s="17" t="s">
        <v>2280</v>
      </c>
      <c r="G196" s="16" t="s">
        <v>446</v>
      </c>
      <c r="H196" s="21" t="s">
        <v>11</v>
      </c>
      <c r="I196" s="17" t="s">
        <v>125</v>
      </c>
      <c r="J196" s="17" t="s">
        <v>2281</v>
      </c>
      <c r="K196" s="17" t="s">
        <v>2282</v>
      </c>
      <c r="L196" s="17" t="s">
        <v>2283</v>
      </c>
      <c r="M196" s="17" t="s">
        <v>2284</v>
      </c>
      <c r="N196" s="17" t="s">
        <v>2285</v>
      </c>
      <c r="O196" s="17" t="s">
        <v>2286</v>
      </c>
      <c r="P196" s="17" t="s">
        <v>2287</v>
      </c>
      <c r="Q196" s="17" t="s">
        <v>2288</v>
      </c>
      <c r="R196" s="16" t="s">
        <v>65</v>
      </c>
      <c r="S196" s="16"/>
      <c r="T196" s="19" t="s">
        <v>2289</v>
      </c>
      <c r="U196" s="19" t="s">
        <v>67</v>
      </c>
    </row>
    <row r="197" customFormat="false" ht="96" hidden="false" customHeight="true" outlineLevel="0" collapsed="false">
      <c r="A197" s="16" t="n">
        <v>193</v>
      </c>
      <c r="B197" s="16" t="s">
        <v>2290</v>
      </c>
      <c r="C197" s="17" t="s">
        <v>2291</v>
      </c>
      <c r="D197" s="17" t="s">
        <v>2292</v>
      </c>
      <c r="E197" s="16" t="n">
        <v>2016</v>
      </c>
      <c r="F197" s="17" t="s">
        <v>2293</v>
      </c>
      <c r="G197" s="16" t="s">
        <v>84</v>
      </c>
      <c r="H197" s="20" t="s">
        <v>25</v>
      </c>
      <c r="I197" s="17" t="s">
        <v>72</v>
      </c>
      <c r="J197" s="17" t="s">
        <v>713</v>
      </c>
      <c r="K197" s="17" t="s">
        <v>73</v>
      </c>
      <c r="L197" s="17" t="s">
        <v>2294</v>
      </c>
      <c r="M197" s="17" t="s">
        <v>2295</v>
      </c>
      <c r="N197" s="17" t="s">
        <v>2296</v>
      </c>
      <c r="O197" s="17" t="s">
        <v>2297</v>
      </c>
      <c r="P197" s="17" t="s">
        <v>2298</v>
      </c>
      <c r="Q197" s="17" t="s">
        <v>2299</v>
      </c>
      <c r="R197" s="16" t="s">
        <v>65</v>
      </c>
      <c r="S197" s="16"/>
      <c r="T197" s="19" t="s">
        <v>2300</v>
      </c>
      <c r="U197" s="19" t="s">
        <v>67</v>
      </c>
    </row>
    <row r="198" customFormat="false" ht="96" hidden="false" customHeight="true" outlineLevel="0" collapsed="false">
      <c r="A198" s="16" t="n">
        <v>194</v>
      </c>
      <c r="B198" s="16" t="s">
        <v>2301</v>
      </c>
      <c r="C198" s="17" t="s">
        <v>2302</v>
      </c>
      <c r="D198" s="17" t="s">
        <v>2303</v>
      </c>
      <c r="E198" s="16" t="n">
        <v>2016</v>
      </c>
      <c r="F198" s="17" t="s">
        <v>2280</v>
      </c>
      <c r="G198" s="16" t="s">
        <v>446</v>
      </c>
      <c r="H198" s="25" t="s">
        <v>7</v>
      </c>
      <c r="I198" s="17" t="s">
        <v>811</v>
      </c>
      <c r="J198" s="17" t="s">
        <v>2304</v>
      </c>
      <c r="K198" s="17" t="s">
        <v>2305</v>
      </c>
      <c r="L198" s="17" t="s">
        <v>2306</v>
      </c>
      <c r="M198" s="17" t="s">
        <v>2307</v>
      </c>
      <c r="N198" s="17" t="s">
        <v>2308</v>
      </c>
      <c r="O198" s="17" t="s">
        <v>2309</v>
      </c>
      <c r="P198" s="17" t="s">
        <v>2310</v>
      </c>
      <c r="Q198" s="17" t="s">
        <v>2311</v>
      </c>
      <c r="R198" s="16" t="s">
        <v>103</v>
      </c>
      <c r="S198" s="19" t="s">
        <v>2312</v>
      </c>
      <c r="T198" s="19" t="s">
        <v>2313</v>
      </c>
      <c r="U198" s="19" t="s">
        <v>67</v>
      </c>
    </row>
    <row r="199" customFormat="false" ht="96" hidden="false" customHeight="true" outlineLevel="0" collapsed="false">
      <c r="A199" s="16" t="n">
        <v>195</v>
      </c>
      <c r="B199" s="16" t="s">
        <v>2314</v>
      </c>
      <c r="C199" s="17" t="s">
        <v>2315</v>
      </c>
      <c r="D199" s="17" t="s">
        <v>2316</v>
      </c>
      <c r="E199" s="16" t="n">
        <v>2016</v>
      </c>
      <c r="F199" s="17" t="s">
        <v>237</v>
      </c>
      <c r="G199" s="16" t="s">
        <v>199</v>
      </c>
      <c r="H199" s="24" t="s">
        <v>15</v>
      </c>
      <c r="I199" s="17" t="s">
        <v>592</v>
      </c>
      <c r="J199" s="17" t="s">
        <v>2317</v>
      </c>
      <c r="K199" s="17" t="s">
        <v>2318</v>
      </c>
      <c r="L199" s="17" t="s">
        <v>2319</v>
      </c>
      <c r="M199" s="17" t="s">
        <v>2320</v>
      </c>
      <c r="N199" s="17" t="s">
        <v>2321</v>
      </c>
      <c r="O199" s="17" t="s">
        <v>1282</v>
      </c>
      <c r="P199" s="17" t="s">
        <v>2322</v>
      </c>
      <c r="Q199" s="17" t="s">
        <v>2323</v>
      </c>
      <c r="R199" s="16" t="s">
        <v>65</v>
      </c>
      <c r="S199" s="16"/>
      <c r="T199" s="19" t="s">
        <v>2324</v>
      </c>
      <c r="U199" s="19" t="s">
        <v>67</v>
      </c>
    </row>
    <row r="200" customFormat="false" ht="96" hidden="false" customHeight="true" outlineLevel="0" collapsed="false">
      <c r="A200" s="16" t="n">
        <v>196</v>
      </c>
      <c r="B200" s="16" t="s">
        <v>2325</v>
      </c>
      <c r="C200" s="17" t="s">
        <v>2326</v>
      </c>
      <c r="D200" s="17" t="s">
        <v>2327</v>
      </c>
      <c r="E200" s="16" t="n">
        <v>2016</v>
      </c>
      <c r="F200" s="17" t="s">
        <v>71</v>
      </c>
      <c r="G200" s="16" t="s">
        <v>56</v>
      </c>
      <c r="H200" s="18" t="s">
        <v>23</v>
      </c>
      <c r="I200" s="17" t="s">
        <v>23</v>
      </c>
      <c r="J200" s="17" t="s">
        <v>2328</v>
      </c>
      <c r="K200" s="17" t="s">
        <v>2329</v>
      </c>
      <c r="L200" s="17" t="s">
        <v>2330</v>
      </c>
      <c r="M200" s="17" t="s">
        <v>2331</v>
      </c>
      <c r="N200" s="17" t="s">
        <v>2332</v>
      </c>
      <c r="O200" s="17" t="s">
        <v>76</v>
      </c>
      <c r="P200" s="17" t="s">
        <v>2333</v>
      </c>
      <c r="Q200" s="17" t="s">
        <v>2334</v>
      </c>
      <c r="R200" s="16" t="s">
        <v>65</v>
      </c>
      <c r="S200" s="16"/>
      <c r="T200" s="19" t="s">
        <v>2335</v>
      </c>
      <c r="U200" s="19" t="s">
        <v>67</v>
      </c>
    </row>
    <row r="201" customFormat="false" ht="96" hidden="false" customHeight="true" outlineLevel="0" collapsed="false">
      <c r="A201" s="16" t="n">
        <v>197</v>
      </c>
      <c r="B201" s="16" t="s">
        <v>2336</v>
      </c>
      <c r="C201" s="17" t="s">
        <v>2337</v>
      </c>
      <c r="D201" s="17" t="s">
        <v>2338</v>
      </c>
      <c r="E201" s="16" t="n">
        <v>2016</v>
      </c>
      <c r="F201" s="17" t="s">
        <v>350</v>
      </c>
      <c r="G201" s="16" t="s">
        <v>199</v>
      </c>
      <c r="H201" s="18" t="s">
        <v>23</v>
      </c>
      <c r="I201" s="17" t="s">
        <v>23</v>
      </c>
      <c r="J201" s="17" t="s">
        <v>2223</v>
      </c>
      <c r="K201" s="17" t="s">
        <v>2339</v>
      </c>
      <c r="L201" s="17" t="s">
        <v>2340</v>
      </c>
      <c r="M201" s="17" t="s">
        <v>2341</v>
      </c>
      <c r="N201" s="17" t="s">
        <v>2342</v>
      </c>
      <c r="O201" s="17" t="s">
        <v>76</v>
      </c>
      <c r="P201" s="17" t="s">
        <v>2343</v>
      </c>
      <c r="Q201" s="17" t="s">
        <v>2344</v>
      </c>
      <c r="R201" s="16" t="s">
        <v>65</v>
      </c>
      <c r="S201" s="16"/>
      <c r="T201" s="19" t="s">
        <v>2345</v>
      </c>
      <c r="U201" s="19" t="s">
        <v>67</v>
      </c>
    </row>
    <row r="202" customFormat="false" ht="96" hidden="false" customHeight="true" outlineLevel="0" collapsed="false">
      <c r="A202" s="16" t="n">
        <v>198</v>
      </c>
      <c r="B202" s="16" t="s">
        <v>2346</v>
      </c>
      <c r="C202" s="17" t="s">
        <v>2347</v>
      </c>
      <c r="D202" s="17" t="s">
        <v>2348</v>
      </c>
      <c r="E202" s="16" t="n">
        <v>2016</v>
      </c>
      <c r="F202" s="17" t="s">
        <v>71</v>
      </c>
      <c r="G202" s="16" t="s">
        <v>56</v>
      </c>
      <c r="H202" s="18" t="s">
        <v>23</v>
      </c>
      <c r="I202" s="17" t="s">
        <v>23</v>
      </c>
      <c r="J202" s="17" t="s">
        <v>2349</v>
      </c>
      <c r="K202" s="17" t="s">
        <v>2350</v>
      </c>
      <c r="L202" s="17" t="s">
        <v>2351</v>
      </c>
      <c r="M202" s="17" t="s">
        <v>2352</v>
      </c>
      <c r="N202" s="17" t="s">
        <v>2353</v>
      </c>
      <c r="O202" s="17" t="s">
        <v>76</v>
      </c>
      <c r="P202" s="17" t="s">
        <v>2354</v>
      </c>
      <c r="Q202" s="17" t="s">
        <v>2355</v>
      </c>
      <c r="R202" s="16" t="s">
        <v>65</v>
      </c>
      <c r="S202" s="16"/>
      <c r="T202" s="19" t="s">
        <v>2356</v>
      </c>
      <c r="U202" s="19" t="s">
        <v>67</v>
      </c>
    </row>
    <row r="203" customFormat="false" ht="96" hidden="false" customHeight="true" outlineLevel="0" collapsed="false">
      <c r="A203" s="16" t="n">
        <v>199</v>
      </c>
      <c r="B203" s="16" t="s">
        <v>2357</v>
      </c>
      <c r="C203" s="17" t="s">
        <v>2358</v>
      </c>
      <c r="D203" s="17" t="s">
        <v>2359</v>
      </c>
      <c r="E203" s="16" t="n">
        <v>2016</v>
      </c>
      <c r="F203" s="17" t="s">
        <v>350</v>
      </c>
      <c r="G203" s="16" t="s">
        <v>199</v>
      </c>
      <c r="H203" s="23" t="s">
        <v>19</v>
      </c>
      <c r="I203" s="17" t="s">
        <v>328</v>
      </c>
      <c r="J203" s="17" t="s">
        <v>2360</v>
      </c>
      <c r="K203" s="17" t="s">
        <v>2361</v>
      </c>
      <c r="L203" s="17" t="s">
        <v>2362</v>
      </c>
      <c r="M203" s="17" t="s">
        <v>2363</v>
      </c>
      <c r="N203" s="17" t="s">
        <v>2364</v>
      </c>
      <c r="O203" s="17" t="s">
        <v>76</v>
      </c>
      <c r="P203" s="17" t="s">
        <v>2365</v>
      </c>
      <c r="Q203" s="17" t="s">
        <v>2366</v>
      </c>
      <c r="R203" s="16" t="s">
        <v>65</v>
      </c>
      <c r="S203" s="16"/>
      <c r="T203" s="19" t="s">
        <v>2367</v>
      </c>
      <c r="U203" s="19" t="s">
        <v>67</v>
      </c>
    </row>
    <row r="204" customFormat="false" ht="96" hidden="false" customHeight="true" outlineLevel="0" collapsed="false">
      <c r="A204" s="16" t="n">
        <v>200</v>
      </c>
      <c r="B204" s="16" t="s">
        <v>2368</v>
      </c>
      <c r="C204" s="17" t="s">
        <v>2369</v>
      </c>
      <c r="D204" s="17" t="s">
        <v>2370</v>
      </c>
      <c r="E204" s="16" t="n">
        <v>2016</v>
      </c>
      <c r="F204" s="17" t="s">
        <v>2371</v>
      </c>
      <c r="G204" s="16" t="s">
        <v>162</v>
      </c>
      <c r="H204" s="20" t="s">
        <v>25</v>
      </c>
      <c r="I204" s="17" t="s">
        <v>72</v>
      </c>
      <c r="J204" s="17" t="s">
        <v>2372</v>
      </c>
      <c r="K204" s="17" t="s">
        <v>1109</v>
      </c>
      <c r="L204" s="17" t="s">
        <v>2373</v>
      </c>
      <c r="M204" s="17" t="s">
        <v>2374</v>
      </c>
      <c r="N204" s="17" t="s">
        <v>2375</v>
      </c>
      <c r="O204" s="17" t="s">
        <v>76</v>
      </c>
      <c r="P204" s="17" t="s">
        <v>2376</v>
      </c>
      <c r="Q204" s="17" t="s">
        <v>2377</v>
      </c>
      <c r="R204" s="16" t="s">
        <v>65</v>
      </c>
      <c r="S204" s="16"/>
      <c r="T204" s="19" t="s">
        <v>2378</v>
      </c>
      <c r="U204" s="19" t="s">
        <v>67</v>
      </c>
    </row>
    <row r="205" customFormat="false" ht="96" hidden="false" customHeight="true" outlineLevel="0" collapsed="false">
      <c r="A205" s="16" t="n">
        <v>201</v>
      </c>
      <c r="B205" s="16" t="s">
        <v>2379</v>
      </c>
      <c r="C205" s="17" t="s">
        <v>2380</v>
      </c>
      <c r="D205" s="17" t="s">
        <v>2381</v>
      </c>
      <c r="E205" s="16" t="n">
        <v>2015</v>
      </c>
      <c r="F205" s="17" t="s">
        <v>2382</v>
      </c>
      <c r="G205" s="16" t="s">
        <v>84</v>
      </c>
      <c r="H205" s="24" t="s">
        <v>15</v>
      </c>
      <c r="I205" s="17" t="s">
        <v>592</v>
      </c>
      <c r="J205" s="17" t="s">
        <v>713</v>
      </c>
      <c r="K205" s="17" t="s">
        <v>73</v>
      </c>
      <c r="L205" s="17" t="s">
        <v>2383</v>
      </c>
      <c r="M205" s="17" t="s">
        <v>2384</v>
      </c>
      <c r="N205" s="17" t="s">
        <v>2385</v>
      </c>
      <c r="O205" s="17" t="s">
        <v>2386</v>
      </c>
      <c r="P205" s="17" t="s">
        <v>2387</v>
      </c>
      <c r="Q205" s="17" t="s">
        <v>2388</v>
      </c>
      <c r="R205" s="16" t="s">
        <v>65</v>
      </c>
      <c r="S205" s="16"/>
      <c r="T205" s="19" t="s">
        <v>2389</v>
      </c>
      <c r="U205" s="19" t="s">
        <v>67</v>
      </c>
    </row>
    <row r="206" customFormat="false" ht="96" hidden="false" customHeight="true" outlineLevel="0" collapsed="false">
      <c r="A206" s="16" t="n">
        <v>202</v>
      </c>
      <c r="B206" s="16" t="s">
        <v>2390</v>
      </c>
      <c r="C206" s="17" t="s">
        <v>2391</v>
      </c>
      <c r="D206" s="17" t="s">
        <v>2392</v>
      </c>
      <c r="E206" s="16" t="n">
        <v>2015</v>
      </c>
      <c r="F206" s="17" t="s">
        <v>2280</v>
      </c>
      <c r="G206" s="16" t="s">
        <v>446</v>
      </c>
      <c r="H206" s="25" t="s">
        <v>5</v>
      </c>
      <c r="I206" s="17" t="s">
        <v>811</v>
      </c>
      <c r="J206" s="17" t="s">
        <v>2393</v>
      </c>
      <c r="K206" s="17" t="s">
        <v>2394</v>
      </c>
      <c r="L206" s="17" t="s">
        <v>2395</v>
      </c>
      <c r="M206" s="17" t="s">
        <v>2396</v>
      </c>
      <c r="N206" s="17" t="s">
        <v>2397</v>
      </c>
      <c r="O206" s="17" t="s">
        <v>2398</v>
      </c>
      <c r="P206" s="17" t="s">
        <v>2399</v>
      </c>
      <c r="Q206" s="17" t="s">
        <v>2400</v>
      </c>
      <c r="R206" s="16" t="s">
        <v>65</v>
      </c>
      <c r="S206" s="16"/>
      <c r="T206" s="19" t="s">
        <v>2401</v>
      </c>
      <c r="U206" s="19" t="s">
        <v>67</v>
      </c>
    </row>
    <row r="207" customFormat="false" ht="96" hidden="false" customHeight="true" outlineLevel="0" collapsed="false">
      <c r="A207" s="16" t="n">
        <v>203</v>
      </c>
      <c r="B207" s="16" t="s">
        <v>2402</v>
      </c>
      <c r="C207" s="17" t="s">
        <v>2403</v>
      </c>
      <c r="D207" s="17" t="s">
        <v>2404</v>
      </c>
      <c r="E207" s="16" t="n">
        <v>2015</v>
      </c>
      <c r="F207" s="17" t="s">
        <v>209</v>
      </c>
      <c r="G207" s="16" t="s">
        <v>199</v>
      </c>
      <c r="H207" s="25" t="s">
        <v>5</v>
      </c>
      <c r="I207" s="17" t="s">
        <v>811</v>
      </c>
      <c r="J207" s="17" t="s">
        <v>2405</v>
      </c>
      <c r="K207" s="17" t="s">
        <v>2406</v>
      </c>
      <c r="L207" s="17" t="s">
        <v>2407</v>
      </c>
      <c r="M207" s="17" t="s">
        <v>2408</v>
      </c>
      <c r="N207" s="17" t="s">
        <v>2409</v>
      </c>
      <c r="O207" s="17" t="s">
        <v>2410</v>
      </c>
      <c r="P207" s="17" t="s">
        <v>2411</v>
      </c>
      <c r="Q207" s="17" t="s">
        <v>2412</v>
      </c>
      <c r="R207" s="16" t="s">
        <v>65</v>
      </c>
      <c r="S207" s="16"/>
      <c r="T207" s="19" t="s">
        <v>2413</v>
      </c>
      <c r="U207" s="19" t="s">
        <v>67</v>
      </c>
    </row>
    <row r="208" customFormat="false" ht="96" hidden="false" customHeight="true" outlineLevel="0" collapsed="false">
      <c r="A208" s="16" t="n">
        <v>204</v>
      </c>
      <c r="B208" s="16" t="s">
        <v>2414</v>
      </c>
      <c r="C208" s="17" t="s">
        <v>2415</v>
      </c>
      <c r="D208" s="17" t="s">
        <v>2416</v>
      </c>
      <c r="E208" s="16" t="n">
        <v>2015</v>
      </c>
      <c r="F208" s="17" t="s">
        <v>2417</v>
      </c>
      <c r="G208" s="16" t="s">
        <v>162</v>
      </c>
      <c r="H208" s="21" t="s">
        <v>11</v>
      </c>
      <c r="I208" s="17" t="s">
        <v>125</v>
      </c>
      <c r="J208" s="17" t="s">
        <v>1109</v>
      </c>
      <c r="K208" s="17" t="s">
        <v>2418</v>
      </c>
      <c r="L208" s="17" t="s">
        <v>2419</v>
      </c>
      <c r="M208" s="17" t="s">
        <v>2420</v>
      </c>
      <c r="N208" s="17" t="s">
        <v>2421</v>
      </c>
      <c r="O208" s="17" t="s">
        <v>2422</v>
      </c>
      <c r="P208" s="17" t="s">
        <v>2423</v>
      </c>
      <c r="Q208" s="17" t="s">
        <v>2424</v>
      </c>
      <c r="R208" s="16" t="s">
        <v>65</v>
      </c>
      <c r="S208" s="16"/>
      <c r="T208" s="19" t="s">
        <v>2425</v>
      </c>
      <c r="U208" s="19" t="s">
        <v>67</v>
      </c>
    </row>
    <row r="209" customFormat="false" ht="96" hidden="false" customHeight="true" outlineLevel="0" collapsed="false">
      <c r="A209" s="16" t="n">
        <v>205</v>
      </c>
      <c r="B209" s="16" t="s">
        <v>2426</v>
      </c>
      <c r="C209" s="17" t="s">
        <v>2427</v>
      </c>
      <c r="D209" s="17" t="s">
        <v>2428</v>
      </c>
      <c r="E209" s="16" t="n">
        <v>2015</v>
      </c>
      <c r="F209" s="17" t="s">
        <v>557</v>
      </c>
      <c r="G209" s="16" t="s">
        <v>446</v>
      </c>
      <c r="H209" s="23" t="s">
        <v>21</v>
      </c>
      <c r="I209" s="17" t="s">
        <v>328</v>
      </c>
      <c r="J209" s="17" t="s">
        <v>2429</v>
      </c>
      <c r="K209" s="17" t="s">
        <v>2430</v>
      </c>
      <c r="L209" s="17" t="s">
        <v>2431</v>
      </c>
      <c r="M209" s="17" t="s">
        <v>2432</v>
      </c>
      <c r="N209" s="17" t="s">
        <v>2433</v>
      </c>
      <c r="O209" s="17" t="s">
        <v>2434</v>
      </c>
      <c r="P209" s="17" t="s">
        <v>2435</v>
      </c>
      <c r="Q209" s="17" t="s">
        <v>2436</v>
      </c>
      <c r="R209" s="16" t="s">
        <v>65</v>
      </c>
      <c r="S209" s="16"/>
      <c r="T209" s="19" t="s">
        <v>2437</v>
      </c>
      <c r="U209" s="19" t="s">
        <v>67</v>
      </c>
    </row>
    <row r="210" customFormat="false" ht="96" hidden="false" customHeight="true" outlineLevel="0" collapsed="false">
      <c r="A210" s="16" t="n">
        <v>206</v>
      </c>
      <c r="B210" s="16" t="s">
        <v>2438</v>
      </c>
      <c r="C210" s="17" t="s">
        <v>2439</v>
      </c>
      <c r="D210" s="17" t="s">
        <v>2440</v>
      </c>
      <c r="E210" s="16" t="n">
        <v>2015</v>
      </c>
      <c r="F210" s="17" t="s">
        <v>2441</v>
      </c>
      <c r="G210" s="16" t="s">
        <v>84</v>
      </c>
      <c r="H210" s="20" t="s">
        <v>25</v>
      </c>
      <c r="I210" s="17" t="s">
        <v>72</v>
      </c>
      <c r="J210" s="17" t="s">
        <v>713</v>
      </c>
      <c r="K210" s="17" t="s">
        <v>73</v>
      </c>
      <c r="L210" s="17" t="s">
        <v>2442</v>
      </c>
      <c r="M210" s="17" t="s">
        <v>2443</v>
      </c>
      <c r="N210" s="17" t="s">
        <v>2444</v>
      </c>
      <c r="O210" s="17" t="s">
        <v>2445</v>
      </c>
      <c r="P210" s="17" t="s">
        <v>2446</v>
      </c>
      <c r="Q210" s="17" t="s">
        <v>2447</v>
      </c>
      <c r="R210" s="16" t="s">
        <v>65</v>
      </c>
      <c r="S210" s="16"/>
      <c r="T210" s="19" t="s">
        <v>2448</v>
      </c>
      <c r="U210" s="19" t="s">
        <v>67</v>
      </c>
    </row>
    <row r="211" customFormat="false" ht="96" hidden="false" customHeight="true" outlineLevel="0" collapsed="false">
      <c r="A211" s="16" t="n">
        <v>207</v>
      </c>
      <c r="B211" s="16" t="s">
        <v>2449</v>
      </c>
      <c r="C211" s="17" t="s">
        <v>2450</v>
      </c>
      <c r="D211" s="17" t="s">
        <v>2451</v>
      </c>
      <c r="E211" s="16" t="n">
        <v>2013</v>
      </c>
      <c r="F211" s="17" t="s">
        <v>161</v>
      </c>
      <c r="G211" s="16" t="s">
        <v>162</v>
      </c>
      <c r="H211" s="25" t="s">
        <v>5</v>
      </c>
      <c r="I211" s="17" t="s">
        <v>811</v>
      </c>
      <c r="J211" s="17" t="s">
        <v>2452</v>
      </c>
      <c r="K211" s="17" t="s">
        <v>2453</v>
      </c>
      <c r="L211" s="17" t="s">
        <v>2454</v>
      </c>
      <c r="M211" s="17" t="s">
        <v>2455</v>
      </c>
      <c r="N211" s="17" t="s">
        <v>2456</v>
      </c>
      <c r="O211" s="17" t="s">
        <v>2457</v>
      </c>
      <c r="P211" s="17" t="s">
        <v>2458</v>
      </c>
      <c r="Q211" s="17" t="s">
        <v>2459</v>
      </c>
      <c r="R211" s="16" t="s">
        <v>65</v>
      </c>
      <c r="S211" s="16"/>
      <c r="T211" s="19" t="s">
        <v>2460</v>
      </c>
      <c r="U211" s="19" t="s">
        <v>67</v>
      </c>
    </row>
    <row r="212" customFormat="false" ht="96" hidden="false" customHeight="true" outlineLevel="0" collapsed="false">
      <c r="A212" s="16" t="n">
        <v>208</v>
      </c>
      <c r="B212" s="16" t="s">
        <v>2461</v>
      </c>
      <c r="C212" s="17" t="s">
        <v>2462</v>
      </c>
      <c r="D212" s="17" t="s">
        <v>2463</v>
      </c>
      <c r="E212" s="16" t="n">
        <v>2010</v>
      </c>
      <c r="F212" s="17" t="s">
        <v>2464</v>
      </c>
      <c r="G212" s="16" t="s">
        <v>162</v>
      </c>
      <c r="H212" s="21" t="s">
        <v>11</v>
      </c>
      <c r="I212" s="17" t="s">
        <v>125</v>
      </c>
      <c r="J212" s="17" t="s">
        <v>1109</v>
      </c>
      <c r="K212" s="17" t="s">
        <v>2465</v>
      </c>
      <c r="L212" s="17" t="s">
        <v>2466</v>
      </c>
      <c r="M212" s="17" t="s">
        <v>2467</v>
      </c>
      <c r="N212" s="17" t="s">
        <v>2468</v>
      </c>
      <c r="O212" s="17" t="s">
        <v>2469</v>
      </c>
      <c r="P212" s="17" t="s">
        <v>2470</v>
      </c>
      <c r="Q212" s="17" t="s">
        <v>2471</v>
      </c>
      <c r="R212" s="16" t="s">
        <v>65</v>
      </c>
      <c r="S212" s="16"/>
      <c r="T212" s="19" t="s">
        <v>2472</v>
      </c>
      <c r="U212" s="19" t="s">
        <v>67</v>
      </c>
    </row>
    <row r="213" customFormat="false" ht="96" hidden="false" customHeight="true" outlineLevel="0" collapsed="false">
      <c r="A213" s="16" t="n">
        <v>209</v>
      </c>
      <c r="B213" s="16" t="s">
        <v>2473</v>
      </c>
      <c r="C213" s="17" t="s">
        <v>2474</v>
      </c>
      <c r="D213" s="17" t="s">
        <v>2475</v>
      </c>
      <c r="E213" s="16" t="n">
        <v>2010</v>
      </c>
      <c r="F213" s="17" t="s">
        <v>557</v>
      </c>
      <c r="G213" s="16" t="s">
        <v>446</v>
      </c>
      <c r="H213" s="24" t="s">
        <v>15</v>
      </c>
      <c r="I213" s="17" t="s">
        <v>592</v>
      </c>
      <c r="J213" s="17" t="s">
        <v>2476</v>
      </c>
      <c r="K213" s="17" t="s">
        <v>2477</v>
      </c>
      <c r="L213" s="17" t="s">
        <v>2478</v>
      </c>
      <c r="M213" s="17" t="s">
        <v>2479</v>
      </c>
      <c r="N213" s="17" t="s">
        <v>2480</v>
      </c>
      <c r="O213" s="17" t="s">
        <v>2481</v>
      </c>
      <c r="P213" s="17" t="s">
        <v>2482</v>
      </c>
      <c r="Q213" s="17" t="s">
        <v>2483</v>
      </c>
      <c r="R213" s="16" t="s">
        <v>65</v>
      </c>
      <c r="S213" s="16"/>
      <c r="T213" s="19" t="s">
        <v>2484</v>
      </c>
      <c r="U213" s="19" t="s">
        <v>67</v>
      </c>
    </row>
    <row r="214" customFormat="false" ht="96" hidden="false" customHeight="true" outlineLevel="0" collapsed="false">
      <c r="A214" s="16" t="n">
        <v>210</v>
      </c>
      <c r="B214" s="16" t="s">
        <v>2485</v>
      </c>
      <c r="C214" s="17" t="s">
        <v>2486</v>
      </c>
      <c r="D214" s="17" t="s">
        <v>2487</v>
      </c>
      <c r="E214" s="16" t="n">
        <v>2009</v>
      </c>
      <c r="F214" s="17" t="s">
        <v>2488</v>
      </c>
      <c r="G214" s="16" t="s">
        <v>446</v>
      </c>
      <c r="H214" s="24" t="s">
        <v>15</v>
      </c>
      <c r="I214" s="17" t="s">
        <v>592</v>
      </c>
      <c r="J214" s="17" t="s">
        <v>2489</v>
      </c>
      <c r="K214" s="17" t="s">
        <v>2490</v>
      </c>
      <c r="L214" s="17" t="s">
        <v>2491</v>
      </c>
      <c r="M214" s="17" t="s">
        <v>2492</v>
      </c>
      <c r="N214" s="17" t="s">
        <v>2493</v>
      </c>
      <c r="O214" s="17" t="s">
        <v>2494</v>
      </c>
      <c r="P214" s="17" t="s">
        <v>2495</v>
      </c>
      <c r="Q214" s="17" t="s">
        <v>2496</v>
      </c>
      <c r="R214" s="16" t="s">
        <v>65</v>
      </c>
      <c r="S214" s="16"/>
      <c r="T214" s="19" t="s">
        <v>2497</v>
      </c>
      <c r="U214" s="19" t="s">
        <v>67</v>
      </c>
    </row>
    <row r="215" customFormat="false" ht="96" hidden="false" customHeight="true" outlineLevel="0" collapsed="false">
      <c r="A215" s="16" t="n">
        <v>211</v>
      </c>
      <c r="B215" s="16" t="s">
        <v>2498</v>
      </c>
      <c r="C215" s="17" t="s">
        <v>2499</v>
      </c>
      <c r="D215" s="17" t="s">
        <v>2500</v>
      </c>
      <c r="E215" s="16" t="n">
        <v>2009</v>
      </c>
      <c r="F215" s="17" t="s">
        <v>2501</v>
      </c>
      <c r="G215" s="16" t="s">
        <v>162</v>
      </c>
      <c r="H215" s="25" t="s">
        <v>5</v>
      </c>
      <c r="I215" s="17" t="s">
        <v>811</v>
      </c>
      <c r="J215" s="17" t="s">
        <v>2502</v>
      </c>
      <c r="K215" s="17" t="s">
        <v>2503</v>
      </c>
      <c r="L215" s="17" t="s">
        <v>2504</v>
      </c>
      <c r="M215" s="17" t="s">
        <v>2505</v>
      </c>
      <c r="N215" s="17" t="s">
        <v>2506</v>
      </c>
      <c r="O215" s="17" t="s">
        <v>2445</v>
      </c>
      <c r="P215" s="17" t="s">
        <v>2507</v>
      </c>
      <c r="Q215" s="17" t="s">
        <v>2508</v>
      </c>
      <c r="R215" s="16" t="s">
        <v>65</v>
      </c>
      <c r="S215" s="16"/>
      <c r="T215" s="19" t="s">
        <v>2509</v>
      </c>
      <c r="U215" s="19" t="s">
        <v>67</v>
      </c>
    </row>
    <row r="216" customFormat="false" ht="96" hidden="false" customHeight="true" outlineLevel="0" collapsed="false">
      <c r="A216" s="16" t="n">
        <v>212</v>
      </c>
      <c r="B216" s="16" t="s">
        <v>2510</v>
      </c>
      <c r="C216" s="17" t="s">
        <v>2511</v>
      </c>
      <c r="D216" s="17" t="s">
        <v>2512</v>
      </c>
      <c r="E216" s="16" t="n">
        <v>2009</v>
      </c>
      <c r="F216" s="17" t="s">
        <v>661</v>
      </c>
      <c r="G216" s="16" t="s">
        <v>199</v>
      </c>
      <c r="H216" s="25" t="s">
        <v>5</v>
      </c>
      <c r="I216" s="17" t="s">
        <v>811</v>
      </c>
      <c r="J216" s="17" t="s">
        <v>2513</v>
      </c>
      <c r="K216" s="17" t="s">
        <v>2514</v>
      </c>
      <c r="L216" s="17" t="s">
        <v>2515</v>
      </c>
      <c r="M216" s="17" t="s">
        <v>2516</v>
      </c>
      <c r="N216" s="17" t="s">
        <v>2517</v>
      </c>
      <c r="O216" s="17" t="s">
        <v>2518</v>
      </c>
      <c r="P216" s="17" t="s">
        <v>2519</v>
      </c>
      <c r="Q216" s="17" t="s">
        <v>2520</v>
      </c>
      <c r="R216" s="16" t="s">
        <v>65</v>
      </c>
      <c r="S216" s="16"/>
      <c r="T216" s="19" t="s">
        <v>2521</v>
      </c>
      <c r="U216" s="19" t="s">
        <v>67</v>
      </c>
    </row>
    <row r="217" customFormat="false" ht="96" hidden="false" customHeight="true" outlineLevel="0" collapsed="false">
      <c r="A217" s="16" t="n">
        <v>213</v>
      </c>
      <c r="B217" s="16" t="s">
        <v>2522</v>
      </c>
      <c r="C217" s="17" t="s">
        <v>2523</v>
      </c>
      <c r="D217" s="17" t="s">
        <v>2524</v>
      </c>
      <c r="E217" s="16" t="n">
        <v>2009</v>
      </c>
      <c r="F217" s="17" t="s">
        <v>2525</v>
      </c>
      <c r="G217" s="16" t="s">
        <v>446</v>
      </c>
      <c r="H217" s="24" t="s">
        <v>15</v>
      </c>
      <c r="I217" s="17" t="s">
        <v>592</v>
      </c>
      <c r="J217" s="17" t="s">
        <v>2489</v>
      </c>
      <c r="K217" s="17" t="s">
        <v>2526</v>
      </c>
      <c r="L217" s="17" t="s">
        <v>2527</v>
      </c>
      <c r="M217" s="17" t="s">
        <v>2528</v>
      </c>
      <c r="N217" s="17" t="s">
        <v>2529</v>
      </c>
      <c r="O217" s="17" t="s">
        <v>2494</v>
      </c>
      <c r="P217" s="17" t="s">
        <v>2530</v>
      </c>
      <c r="Q217" s="17" t="s">
        <v>2531</v>
      </c>
      <c r="R217" s="16" t="s">
        <v>65</v>
      </c>
      <c r="S217" s="16"/>
      <c r="T217" s="19" t="s">
        <v>2532</v>
      </c>
      <c r="U217" s="19" t="s">
        <v>67</v>
      </c>
    </row>
    <row r="218" customFormat="false" ht="96" hidden="false" customHeight="true" outlineLevel="0" collapsed="false">
      <c r="A218" s="16" t="n">
        <v>214</v>
      </c>
      <c r="B218" s="16" t="s">
        <v>2533</v>
      </c>
      <c r="C218" s="17" t="s">
        <v>2534</v>
      </c>
      <c r="D218" s="17" t="s">
        <v>2535</v>
      </c>
      <c r="E218" s="16" t="n">
        <v>2008</v>
      </c>
      <c r="F218" s="17" t="s">
        <v>2536</v>
      </c>
      <c r="G218" s="16" t="s">
        <v>199</v>
      </c>
      <c r="H218" s="25" t="s">
        <v>5</v>
      </c>
      <c r="I218" s="17" t="s">
        <v>811</v>
      </c>
      <c r="J218" s="17" t="s">
        <v>2537</v>
      </c>
      <c r="K218" s="17" t="s">
        <v>2538</v>
      </c>
      <c r="L218" s="17" t="s">
        <v>2539</v>
      </c>
      <c r="M218" s="17" t="s">
        <v>2540</v>
      </c>
      <c r="N218" s="17" t="s">
        <v>2541</v>
      </c>
      <c r="O218" s="17" t="s">
        <v>2542</v>
      </c>
      <c r="P218" s="17" t="s">
        <v>2543</v>
      </c>
      <c r="Q218" s="17" t="s">
        <v>2544</v>
      </c>
      <c r="R218" s="16" t="s">
        <v>65</v>
      </c>
      <c r="S218" s="16"/>
      <c r="T218" s="19" t="s">
        <v>2545</v>
      </c>
      <c r="U218" s="19" t="s">
        <v>67</v>
      </c>
    </row>
    <row r="219" customFormat="false" ht="96" hidden="false" customHeight="true" outlineLevel="0" collapsed="false">
      <c r="A219" s="16" t="n">
        <v>215</v>
      </c>
      <c r="B219" s="16" t="s">
        <v>2546</v>
      </c>
      <c r="C219" s="17" t="s">
        <v>2547</v>
      </c>
      <c r="D219" s="17" t="s">
        <v>2548</v>
      </c>
      <c r="E219" s="16" t="n">
        <v>2008</v>
      </c>
      <c r="F219" s="17" t="s">
        <v>2549</v>
      </c>
      <c r="G219" s="16" t="s">
        <v>84</v>
      </c>
      <c r="H219" s="25" t="s">
        <v>5</v>
      </c>
      <c r="I219" s="17" t="s">
        <v>811</v>
      </c>
      <c r="J219" s="17" t="s">
        <v>2550</v>
      </c>
      <c r="K219" s="17" t="s">
        <v>2551</v>
      </c>
      <c r="L219" s="17" t="s">
        <v>2552</v>
      </c>
      <c r="M219" s="17" t="s">
        <v>2553</v>
      </c>
      <c r="N219" s="17" t="s">
        <v>2554</v>
      </c>
      <c r="O219" s="17" t="s">
        <v>2555</v>
      </c>
      <c r="P219" s="17" t="s">
        <v>2556</v>
      </c>
      <c r="Q219" s="17" t="s">
        <v>2557</v>
      </c>
      <c r="R219" s="16" t="s">
        <v>65</v>
      </c>
      <c r="S219" s="16"/>
      <c r="T219" s="19" t="s">
        <v>2558</v>
      </c>
      <c r="U219" s="19" t="s">
        <v>67</v>
      </c>
    </row>
    <row r="220" customFormat="false" ht="96" hidden="false" customHeight="true" outlineLevel="0" collapsed="false">
      <c r="A220" s="16" t="n">
        <v>216</v>
      </c>
      <c r="B220" s="16" t="s">
        <v>2559</v>
      </c>
      <c r="C220" s="17" t="s">
        <v>2560</v>
      </c>
      <c r="D220" s="17" t="s">
        <v>2561</v>
      </c>
      <c r="E220" s="16" t="n">
        <v>2006</v>
      </c>
      <c r="F220" s="17" t="s">
        <v>2562</v>
      </c>
      <c r="G220" s="16" t="s">
        <v>84</v>
      </c>
      <c r="H220" s="25" t="s">
        <v>5</v>
      </c>
      <c r="I220" s="17" t="s">
        <v>811</v>
      </c>
      <c r="J220" s="17" t="s">
        <v>2563</v>
      </c>
      <c r="K220" s="17" t="s">
        <v>2564</v>
      </c>
      <c r="L220" s="17" t="s">
        <v>2565</v>
      </c>
      <c r="M220" s="17" t="s">
        <v>2566</v>
      </c>
      <c r="N220" s="17" t="s">
        <v>2567</v>
      </c>
      <c r="O220" s="17" t="s">
        <v>2568</v>
      </c>
      <c r="P220" s="17" t="s">
        <v>2569</v>
      </c>
      <c r="Q220" s="17" t="s">
        <v>2570</v>
      </c>
      <c r="R220" s="16" t="s">
        <v>65</v>
      </c>
      <c r="S220" s="16"/>
      <c r="T220" s="19" t="s">
        <v>2571</v>
      </c>
      <c r="U220" s="19" t="s">
        <v>67</v>
      </c>
    </row>
    <row r="221" customFormat="false" ht="96" hidden="false" customHeight="true" outlineLevel="0" collapsed="false">
      <c r="A221" s="16" t="n">
        <v>217</v>
      </c>
      <c r="B221" s="16" t="s">
        <v>2572</v>
      </c>
      <c r="C221" s="17" t="s">
        <v>2573</v>
      </c>
      <c r="D221" s="17" t="s">
        <v>2574</v>
      </c>
      <c r="E221" s="16" t="n">
        <v>2006</v>
      </c>
      <c r="F221" s="17" t="s">
        <v>2575</v>
      </c>
      <c r="G221" s="16" t="s">
        <v>446</v>
      </c>
      <c r="H221" s="25" t="s">
        <v>7</v>
      </c>
      <c r="I221" s="17" t="s">
        <v>811</v>
      </c>
      <c r="J221" s="17" t="s">
        <v>2576</v>
      </c>
      <c r="K221" s="17" t="s">
        <v>1109</v>
      </c>
      <c r="L221" s="17" t="s">
        <v>2577</v>
      </c>
      <c r="M221" s="17" t="s">
        <v>2578</v>
      </c>
      <c r="N221" s="17" t="s">
        <v>2579</v>
      </c>
      <c r="O221" s="17" t="s">
        <v>2580</v>
      </c>
      <c r="P221" s="17" t="s">
        <v>2581</v>
      </c>
      <c r="Q221" s="17" t="s">
        <v>2582</v>
      </c>
      <c r="R221" s="16" t="s">
        <v>65</v>
      </c>
      <c r="S221" s="16"/>
      <c r="T221" s="19" t="s">
        <v>2583</v>
      </c>
      <c r="U221" s="19" t="s">
        <v>67</v>
      </c>
    </row>
    <row r="222" customFormat="false" ht="96" hidden="false" customHeight="true" outlineLevel="0" collapsed="false">
      <c r="A222" s="16" t="n">
        <v>218</v>
      </c>
      <c r="B222" s="16" t="s">
        <v>2584</v>
      </c>
      <c r="C222" s="17" t="s">
        <v>2585</v>
      </c>
      <c r="D222" s="17" t="s">
        <v>2586</v>
      </c>
      <c r="E222" s="16" t="n">
        <v>2006</v>
      </c>
      <c r="F222" s="17" t="s">
        <v>237</v>
      </c>
      <c r="G222" s="16" t="s">
        <v>199</v>
      </c>
      <c r="H222" s="25" t="s">
        <v>5</v>
      </c>
      <c r="I222" s="17" t="s">
        <v>811</v>
      </c>
      <c r="J222" s="17" t="s">
        <v>2587</v>
      </c>
      <c r="K222" s="17" t="s">
        <v>2588</v>
      </c>
      <c r="L222" s="17" t="s">
        <v>2589</v>
      </c>
      <c r="M222" s="17" t="s">
        <v>2590</v>
      </c>
      <c r="N222" s="17" t="s">
        <v>2591</v>
      </c>
      <c r="O222" s="17" t="s">
        <v>2592</v>
      </c>
      <c r="P222" s="17" t="s">
        <v>2593</v>
      </c>
      <c r="Q222" s="17" t="s">
        <v>2594</v>
      </c>
      <c r="R222" s="16" t="s">
        <v>65</v>
      </c>
      <c r="S222" s="16"/>
      <c r="T222" s="19" t="s">
        <v>2595</v>
      </c>
      <c r="U222" s="19" t="s">
        <v>67</v>
      </c>
    </row>
    <row r="223" customFormat="false" ht="96" hidden="false" customHeight="true" outlineLevel="0" collapsed="false">
      <c r="A223" s="16" t="n">
        <v>219</v>
      </c>
      <c r="B223" s="16" t="s">
        <v>2596</v>
      </c>
      <c r="C223" s="17" t="s">
        <v>2597</v>
      </c>
      <c r="D223" s="17" t="s">
        <v>2598</v>
      </c>
      <c r="E223" s="16" t="n">
        <v>2005</v>
      </c>
      <c r="F223" s="17" t="s">
        <v>2599</v>
      </c>
      <c r="G223" s="16" t="s">
        <v>446</v>
      </c>
      <c r="H223" s="25" t="s">
        <v>5</v>
      </c>
      <c r="I223" s="17" t="s">
        <v>811</v>
      </c>
      <c r="J223" s="17" t="s">
        <v>2600</v>
      </c>
      <c r="K223" s="17" t="s">
        <v>2601</v>
      </c>
      <c r="L223" s="17" t="s">
        <v>2602</v>
      </c>
      <c r="M223" s="17" t="s">
        <v>2603</v>
      </c>
      <c r="N223" s="17" t="s">
        <v>2591</v>
      </c>
      <c r="O223" s="17" t="s">
        <v>2604</v>
      </c>
      <c r="P223" s="17" t="s">
        <v>2605</v>
      </c>
      <c r="Q223" s="17" t="s">
        <v>2606</v>
      </c>
      <c r="R223" s="16" t="s">
        <v>65</v>
      </c>
      <c r="S223" s="16"/>
      <c r="T223" s="19" t="s">
        <v>2607</v>
      </c>
      <c r="U223" s="19" t="s">
        <v>67</v>
      </c>
    </row>
    <row r="224" customFormat="false" ht="96" hidden="false" customHeight="true" outlineLevel="0" collapsed="false">
      <c r="A224" s="16" t="n">
        <v>220</v>
      </c>
      <c r="B224" s="16" t="s">
        <v>2608</v>
      </c>
      <c r="C224" s="17" t="s">
        <v>2609</v>
      </c>
      <c r="D224" s="17" t="s">
        <v>2610</v>
      </c>
      <c r="E224" s="16" t="n">
        <v>2005</v>
      </c>
      <c r="F224" s="17" t="s">
        <v>2611</v>
      </c>
      <c r="G224" s="16" t="s">
        <v>84</v>
      </c>
      <c r="H224" s="25" t="s">
        <v>5</v>
      </c>
      <c r="I224" s="17" t="s">
        <v>811</v>
      </c>
      <c r="J224" s="17" t="s">
        <v>2600</v>
      </c>
      <c r="K224" s="17" t="s">
        <v>2612</v>
      </c>
      <c r="L224" s="17" t="s">
        <v>2613</v>
      </c>
      <c r="M224" s="17" t="s">
        <v>2614</v>
      </c>
      <c r="N224" s="17" t="s">
        <v>2615</v>
      </c>
      <c r="O224" s="17" t="s">
        <v>2616</v>
      </c>
      <c r="P224" s="17" t="s">
        <v>2617</v>
      </c>
      <c r="Q224" s="17" t="s">
        <v>2618</v>
      </c>
      <c r="R224" s="16" t="s">
        <v>65</v>
      </c>
      <c r="S224" s="16"/>
      <c r="T224" s="19" t="s">
        <v>2619</v>
      </c>
      <c r="U224" s="19" t="s">
        <v>67</v>
      </c>
    </row>
    <row r="225" customFormat="false" ht="96" hidden="false" customHeight="true" outlineLevel="0" collapsed="false">
      <c r="A225" s="16" t="n">
        <v>221</v>
      </c>
      <c r="B225" s="16" t="s">
        <v>2620</v>
      </c>
      <c r="C225" s="17" t="s">
        <v>2621</v>
      </c>
      <c r="D225" s="17" t="s">
        <v>2622</v>
      </c>
      <c r="E225" s="16" t="n">
        <v>2004</v>
      </c>
      <c r="F225" s="17" t="s">
        <v>2623</v>
      </c>
      <c r="G225" s="16" t="s">
        <v>84</v>
      </c>
      <c r="H225" s="24" t="s">
        <v>15</v>
      </c>
      <c r="I225" s="17" t="s">
        <v>592</v>
      </c>
      <c r="J225" s="17" t="s">
        <v>2624</v>
      </c>
      <c r="K225" s="17" t="s">
        <v>2625</v>
      </c>
      <c r="L225" s="17" t="s">
        <v>2626</v>
      </c>
      <c r="M225" s="17" t="s">
        <v>2627</v>
      </c>
      <c r="N225" s="17" t="s">
        <v>2628</v>
      </c>
      <c r="O225" s="17" t="s">
        <v>2629</v>
      </c>
      <c r="P225" s="17" t="s">
        <v>2630</v>
      </c>
      <c r="Q225" s="17" t="s">
        <v>2631</v>
      </c>
      <c r="R225" s="16" t="s">
        <v>65</v>
      </c>
      <c r="S225" s="16"/>
      <c r="T225" s="19" t="s">
        <v>2632</v>
      </c>
      <c r="U225" s="19" t="s">
        <v>67</v>
      </c>
    </row>
    <row r="226" customFormat="false" ht="96" hidden="false" customHeight="true" outlineLevel="0" collapsed="false">
      <c r="A226" s="16" t="n">
        <v>222</v>
      </c>
      <c r="B226" s="16" t="s">
        <v>2633</v>
      </c>
      <c r="C226" s="17" t="s">
        <v>2634</v>
      </c>
      <c r="D226" s="17" t="s">
        <v>2635</v>
      </c>
      <c r="E226" s="16" t="n">
        <v>2002</v>
      </c>
      <c r="F226" s="17" t="s">
        <v>2636</v>
      </c>
      <c r="G226" s="16" t="s">
        <v>446</v>
      </c>
      <c r="H226" s="24" t="s">
        <v>15</v>
      </c>
      <c r="I226" s="17" t="s">
        <v>592</v>
      </c>
      <c r="J226" s="17" t="s">
        <v>2576</v>
      </c>
      <c r="K226" s="17" t="s">
        <v>2637</v>
      </c>
      <c r="L226" s="17" t="s">
        <v>2638</v>
      </c>
      <c r="M226" s="17" t="s">
        <v>2639</v>
      </c>
      <c r="N226" s="17" t="s">
        <v>1213</v>
      </c>
      <c r="O226" s="17" t="s">
        <v>2640</v>
      </c>
      <c r="P226" s="17" t="s">
        <v>2641</v>
      </c>
      <c r="Q226" s="17" t="s">
        <v>2642</v>
      </c>
      <c r="R226" s="16" t="s">
        <v>65</v>
      </c>
      <c r="S226" s="16"/>
      <c r="T226" s="19" t="s">
        <v>2643</v>
      </c>
      <c r="U226" s="19" t="s">
        <v>67</v>
      </c>
    </row>
    <row r="227" customFormat="false" ht="96" hidden="false" customHeight="true" outlineLevel="0" collapsed="false">
      <c r="A227" s="16" t="n">
        <v>223</v>
      </c>
      <c r="B227" s="16" t="s">
        <v>2644</v>
      </c>
      <c r="C227" s="17" t="s">
        <v>2645</v>
      </c>
      <c r="D227" s="17" t="s">
        <v>2646</v>
      </c>
      <c r="E227" s="16" t="n">
        <v>2001</v>
      </c>
      <c r="F227" s="17" t="s">
        <v>2647</v>
      </c>
      <c r="G227" s="16" t="s">
        <v>84</v>
      </c>
      <c r="H227" s="24" t="s">
        <v>15</v>
      </c>
      <c r="I227" s="17" t="s">
        <v>592</v>
      </c>
      <c r="J227" s="17" t="s">
        <v>2648</v>
      </c>
      <c r="K227" s="17" t="s">
        <v>2649</v>
      </c>
      <c r="L227" s="17" t="s">
        <v>2650</v>
      </c>
      <c r="M227" s="17" t="s">
        <v>2651</v>
      </c>
      <c r="N227" s="17" t="s">
        <v>2652</v>
      </c>
      <c r="O227" s="17" t="s">
        <v>2653</v>
      </c>
      <c r="P227" s="17" t="s">
        <v>2654</v>
      </c>
      <c r="Q227" s="17" t="s">
        <v>2655</v>
      </c>
      <c r="R227" s="16" t="s">
        <v>65</v>
      </c>
      <c r="S227" s="16"/>
      <c r="T227" s="19" t="s">
        <v>2656</v>
      </c>
      <c r="U227" s="19" t="s">
        <v>67</v>
      </c>
    </row>
    <row r="228" customFormat="false" ht="96" hidden="false" customHeight="true" outlineLevel="0" collapsed="false">
      <c r="A228" s="16" t="n">
        <v>224</v>
      </c>
      <c r="B228" s="16" t="s">
        <v>2657</v>
      </c>
      <c r="C228" s="17" t="s">
        <v>2658</v>
      </c>
      <c r="D228" s="17" t="s">
        <v>2659</v>
      </c>
      <c r="E228" s="16" t="n">
        <v>2000</v>
      </c>
      <c r="F228" s="17" t="s">
        <v>2660</v>
      </c>
      <c r="G228" s="16" t="s">
        <v>162</v>
      </c>
      <c r="H228" s="25" t="s">
        <v>5</v>
      </c>
      <c r="I228" s="17" t="s">
        <v>811</v>
      </c>
      <c r="J228" s="17" t="s">
        <v>2661</v>
      </c>
      <c r="K228" s="17" t="s">
        <v>2564</v>
      </c>
      <c r="L228" s="17" t="s">
        <v>2662</v>
      </c>
      <c r="M228" s="17" t="s">
        <v>2663</v>
      </c>
      <c r="N228" s="17" t="s">
        <v>2664</v>
      </c>
      <c r="O228" s="17" t="s">
        <v>2665</v>
      </c>
      <c r="P228" s="17" t="s">
        <v>2666</v>
      </c>
      <c r="Q228" s="17" t="s">
        <v>2667</v>
      </c>
      <c r="R228" s="16" t="s">
        <v>65</v>
      </c>
      <c r="S228" s="16"/>
      <c r="T228" s="19" t="s">
        <v>2668</v>
      </c>
      <c r="U228" s="19" t="s">
        <v>67</v>
      </c>
    </row>
    <row r="229" customFormat="false" ht="96" hidden="false" customHeight="true" outlineLevel="0" collapsed="false">
      <c r="A229" s="16" t="n">
        <v>225</v>
      </c>
      <c r="B229" s="16" t="s">
        <v>2669</v>
      </c>
      <c r="C229" s="17" t="s">
        <v>2670</v>
      </c>
      <c r="D229" s="17" t="s">
        <v>2671</v>
      </c>
      <c r="E229" s="16" t="n">
        <v>1999</v>
      </c>
      <c r="F229" s="17" t="s">
        <v>2280</v>
      </c>
      <c r="G229" s="16" t="s">
        <v>446</v>
      </c>
      <c r="H229" s="24" t="s">
        <v>15</v>
      </c>
      <c r="I229" s="17" t="s">
        <v>592</v>
      </c>
      <c r="J229" s="17" t="s">
        <v>2576</v>
      </c>
      <c r="K229" s="17" t="s">
        <v>2672</v>
      </c>
      <c r="L229" s="17" t="s">
        <v>2673</v>
      </c>
      <c r="M229" s="17" t="s">
        <v>2674</v>
      </c>
      <c r="N229" s="17" t="s">
        <v>2321</v>
      </c>
      <c r="O229" s="17" t="s">
        <v>2675</v>
      </c>
      <c r="P229" s="17" t="s">
        <v>2676</v>
      </c>
      <c r="Q229" s="17" t="s">
        <v>2677</v>
      </c>
      <c r="R229" s="16" t="s">
        <v>65</v>
      </c>
      <c r="S229" s="16"/>
      <c r="T229" s="19" t="s">
        <v>2678</v>
      </c>
      <c r="U229" s="19" t="s">
        <v>67</v>
      </c>
    </row>
  </sheetData>
  <autoFilter ref="A4:U229"/>
  <hyperlinks>
    <hyperlink ref="T5" r:id="rId1" display="https://arxiv.org/abs/2605.03857"/>
    <hyperlink ref="U5" r:id="rId2" display="Search"/>
    <hyperlink ref="T6" r:id="rId3" display="https://arxiv.org/abs/2608.04314"/>
    <hyperlink ref="U6" r:id="rId4" display="Search"/>
    <hyperlink ref="T7" r:id="rId5" display="https://arxiv.org/abs/2504.18015"/>
    <hyperlink ref="U7" r:id="rId6" display="Search"/>
    <hyperlink ref="S8" r:id="rId7" display="https://arxiv.org/abs/2603.13121"/>
    <hyperlink ref="T8" r:id="rId8" display="https://arxiv.org/abs/2603.13121"/>
    <hyperlink ref="U8" r:id="rId9" display="Search"/>
    <hyperlink ref="T9" r:id="rId10" display="https://arxiv.org/abs/2607.25926"/>
    <hyperlink ref="U9" r:id="rId11" display="Search"/>
    <hyperlink ref="T10" r:id="rId12" display="https://arxiv.org/abs/2602.02914"/>
    <hyperlink ref="U10" r:id="rId13" display="Search"/>
    <hyperlink ref="T11" r:id="rId14" display="https://arxiv.org/abs/2606.17606"/>
    <hyperlink ref="U11" r:id="rId15" display="Search"/>
    <hyperlink ref="T12" r:id="rId16" display="https://arxiv.org/abs/2412.15228"/>
    <hyperlink ref="U12" r:id="rId17" display="Search"/>
    <hyperlink ref="S13" r:id="rId18" display="https://github.com/ethz-spylab/robust-style-mimicry"/>
    <hyperlink ref="T13" r:id="rId19" display="https://arxiv.org/abs/2406.12027"/>
    <hyperlink ref="U13" r:id="rId20" display="Search"/>
    <hyperlink ref="T14" r:id="rId21" display="https://arxiv.org/abs/2505.20985"/>
    <hyperlink ref="U14" r:id="rId22" display="Search"/>
    <hyperlink ref="T15" r:id="rId23" display="https://arxiv.org/abs/2503.10549"/>
    <hyperlink ref="U15" r:id="rId24" display="Search"/>
    <hyperlink ref="S16" r:id="rId25" display="https://github.com/joellliu/DiffProtect"/>
    <hyperlink ref="T16" r:id="rId26" display="https://arxiv.org/abs/2305.13625"/>
    <hyperlink ref="U16" r:id="rId27" display="Search"/>
    <hyperlink ref="T17" r:id="rId28" display="https://arxiv.org/abs/2504.21646"/>
    <hyperlink ref="U17" r:id="rId29" display="Search"/>
    <hyperlink ref="S18" r:id="rId30" display="https://github.com/parham1998/Facial-Privacy-Protection"/>
    <hyperlink ref="T18" r:id="rId31" display="https://openaccess.thecvf.com/content/CVPR2025/html/Salar_Enhancing_Facial_Privacy_Protection_via_Weakening_Diffusion_Purification_CVPR_2025_paper.html"/>
    <hyperlink ref="U18" r:id="rId32" display="Search"/>
    <hyperlink ref="S19" r:id="rId33" display="https://github.com/hanweikung/face_anon_simple"/>
    <hyperlink ref="T19" r:id="rId34" display="https://arxiv.org/abs/2411.00762"/>
    <hyperlink ref="U19" r:id="rId35" display="Search"/>
    <hyperlink ref="T20" r:id="rId36" display="https://arxiv.org/abs/2411.03960"/>
    <hyperlink ref="U20" r:id="rId37" display="Search"/>
    <hyperlink ref="T21" r:id="rId38" display="https://doi.org/10.1016/j.cosrev.2025.100785"/>
    <hyperlink ref="U21" r:id="rId39" display="Search"/>
    <hyperlink ref="T22" r:id="rId40" display="https://arxiv.org/abs/2412.11638"/>
    <hyperlink ref="U22" r:id="rId41" display="Search"/>
    <hyperlink ref="T23" r:id="rId42" display="https://arxiv.org/abs/2506.09777"/>
    <hyperlink ref="U23" r:id="rId43" display="Search"/>
    <hyperlink ref="T24" r:id="rId44" display="https://arxiv.org/abs/2509.11249"/>
    <hyperlink ref="U24" r:id="rId45" display="Search"/>
    <hyperlink ref="S25" r:id="rId46" display="https://github.com/anilegin/AnonNET"/>
    <hyperlink ref="T25" r:id="rId47" display="https://arxiv.org/abs/2601.11635"/>
    <hyperlink ref="U25" r:id="rId48" display="Search"/>
    <hyperlink ref="T26" r:id="rId49" display="https://arxiv.org/abs/2508.02034"/>
    <hyperlink ref="U26" r:id="rId50" display="Search"/>
    <hyperlink ref="T27" r:id="rId51" display="https://arxiv.org/abs/2510.01031"/>
    <hyperlink ref="U27" r:id="rId52" display="Search"/>
    <hyperlink ref="S28" r:id="rId53" display="https://github.com/HaiyuWu/vec2face"/>
    <hyperlink ref="T28" r:id="rId54" display="https://arxiv.org/abs/2409.02979"/>
    <hyperlink ref="U28" r:id="rId55" display="Search"/>
    <hyperlink ref="T29" r:id="rId56" display="https://arxiv.org/abs/2303.16552"/>
    <hyperlink ref="U29" r:id="rId57" display="Search"/>
    <hyperlink ref="S30" r:id="rId58" display="https://github.com/foivospar/Arc2Face"/>
    <hyperlink ref="T30" r:id="rId59" display="https://arxiv.org/abs/2403.11641"/>
    <hyperlink ref="U30" r:id="rId60" display="Search"/>
    <hyperlink ref="S31" r:id="rId61" display="https://github.com/ZhengyueZhao/GrIDPure"/>
    <hyperlink ref="T31" r:id="rId62" display="https://arxiv.org/abs/2312.00084"/>
    <hyperlink ref="U31" r:id="rId63" display="Search"/>
    <hyperlink ref="S32" r:id="rId64" display="https://github.com/HansSunY/DiffAM"/>
    <hyperlink ref="T32" r:id="rId65" display="https://arxiv.org/abs/2405.09882"/>
    <hyperlink ref="U32" r:id="rId66" display="Search"/>
    <hyperlink ref="T33" r:id="rId67" display="https://arxiv.org/abs/2303.13269"/>
    <hyperlink ref="U33" r:id="rId68" display="Search"/>
    <hyperlink ref="T34" r:id="rId69" display="https://arxiv.org/abs/2411.16832"/>
    <hyperlink ref="U34" r:id="rId70" display="Search"/>
    <hyperlink ref="T35" r:id="rId71" display="https://arxiv.org/abs/2311.10476"/>
    <hyperlink ref="U35" r:id="rId72" display="Search"/>
    <hyperlink ref="T36" r:id="rId73" display="https://arxiv.org/abs/2411.09863"/>
    <hyperlink ref="U36" r:id="rId74" display="Search"/>
    <hyperlink ref="T37" r:id="rId75" display="https://arxiv.org/abs/2406.17219"/>
    <hyperlink ref="U37" r:id="rId76" display="Search"/>
    <hyperlink ref="T38" r:id="rId77" display="https://arxiv.org/abs/2210.10651"/>
    <hyperlink ref="U38" r:id="rId78" display="Search"/>
    <hyperlink ref="S39" r:id="rId79" display="https://github.com/SHI-Labs/Forget-Me-Not"/>
    <hyperlink ref="T39" r:id="rId80" display="https://arxiv.org/abs/2303.17591"/>
    <hyperlink ref="U39" r:id="rId81" display="Search"/>
    <hyperlink ref="S40" r:id="rId82" display="https://github.com/Harxis/G2Face"/>
    <hyperlink ref="T40" r:id="rId83" display="https://arxiv.org/abs/2408.09458"/>
    <hyperlink ref="U40" r:id="rId84" display="Search"/>
    <hyperlink ref="S41" r:id="rId85" display="https://github.com/hcmlab/GANonymization"/>
    <hyperlink ref="T41" r:id="rId86" display="https://arxiv.org/abs/2305.02143"/>
    <hyperlink ref="U41" r:id="rId87" display="Search"/>
    <hyperlink ref="S42" r:id="rId88" display="https://github.com/JJuOn/GUIDE"/>
    <hyperlink ref="T42" r:id="rId89" display="https://arxiv.org/abs/2405.09879"/>
    <hyperlink ref="U42" r:id="rId90" display="Search"/>
    <hyperlink ref="T43" r:id="rId91" display="https://arxiv.org/abs/2402.09225"/>
    <hyperlink ref="U43" r:id="rId92" display="Search"/>
    <hyperlink ref="T44" r:id="rId93" display="https://arxiv.org/abs/2403.14790"/>
    <hyperlink ref="U44" r:id="rId94" display="Search"/>
    <hyperlink ref="S45" r:id="rId95" display="https://github.com/daizigege/CanFG"/>
    <hyperlink ref="T45" r:id="rId96" display="https://doi.org/10.1145/3664647.3680704"/>
    <hyperlink ref="U45" r:id="rId97" display="Search"/>
    <hyperlink ref="S46" r:id="rId98" display="https://github.com/liuyixin-louis/MetaCloak"/>
    <hyperlink ref="T46" r:id="rId99" display="https://arxiv.org/abs/2311.13127"/>
    <hyperlink ref="U46" r:id="rId100" display="Search"/>
    <hyperlink ref="T47" r:id="rId101" display="https://arxiv.org/abs/2310.13828"/>
    <hyperlink ref="U47" r:id="rId102" display="Search"/>
    <hyperlink ref="T48" r:id="rId103" display="https://arxiv.org/abs/2407.13975"/>
    <hyperlink ref="U48" r:id="rId104" display="Search"/>
    <hyperlink ref="T49" r:id="rId105" display="https://arxiv.org/abs/2404.15081"/>
    <hyperlink ref="U49" r:id="rId106" display="Search"/>
    <hyperlink ref="S50" r:id="rId107" display="https://github.com/Tencent/TFace"/>
    <hyperlink ref="T50" r:id="rId108" display="https://openaccess.thecvf.com/content/CVPR2024/html/Mi_Privacy-Preserving_Face_Recognition_Using_Trainable_Feature_Subtraction_CVPR_2024_paper.html"/>
    <hyperlink ref="U50" r:id="rId109" display="Search"/>
    <hyperlink ref="S51" r:id="rId110" display="https://github.com/OPTML-Group/Unlearn-Saliency"/>
    <hyperlink ref="T51" r:id="rId111" display="https://arxiv.org/abs/2310.12508"/>
    <hyperlink ref="U51" r:id="rId112" display="Search"/>
    <hyperlink ref="S52" r:id="rId113" display="https://github.com/somuchtome/SimAC"/>
    <hyperlink ref="T52" r:id="rId114" display="https://arxiv.org/abs/2312.07865"/>
    <hyperlink ref="U52" r:id="rId115" display="Search"/>
    <hyperlink ref="T53" r:id="rId116" display="https://arxiv.org/abs/2303.08500"/>
    <hyperlink ref="U53" r:id="rId117" display="Search"/>
    <hyperlink ref="T54" r:id="rId118" display="https://doi.org/10.1109/TIFS.2024.3381820"/>
    <hyperlink ref="U54" r:id="rId119" display="Search"/>
    <hyperlink ref="T55" r:id="rId120" display="https://arxiv.org/abs/2007.07646"/>
    <hyperlink ref="U55" r:id="rId121" display="Search"/>
    <hyperlink ref="S56" r:id="rId122" display="https://github.com/nupurkmr9/concept-ablation"/>
    <hyperlink ref="T56" r:id="rId123" display="https://arxiv.org/abs/2303.13516"/>
    <hyperlink ref="U56" r:id="rId124" display="Search"/>
    <hyperlink ref="S57" r:id="rId125" display="https://github.com/mist-project/mist"/>
    <hyperlink ref="T57" r:id="rId126" display="https://arxiv.org/abs/2302.04578"/>
    <hyperlink ref="U57" r:id="rId127" display="Search"/>
    <hyperlink ref="S58" r:id="rId128" display="https://github.com/VinAIResearch/Anti-DreamBooth"/>
    <hyperlink ref="T58" r:id="rId129" display="https://arxiv.org/abs/2303.15433"/>
    <hyperlink ref="U58" r:id="rId130" display="Search"/>
    <hyperlink ref="S59" r:id="rId131" display="https://github.com/chi0tzp/FALCO"/>
    <hyperlink ref="T59" r:id="rId132" display="https://arxiv.org/abs/2303.11296"/>
    <hyperlink ref="U59" r:id="rId133" display="Search"/>
    <hyperlink ref="T60" r:id="rId134" display="https://arxiv.org/abs/2110.05044"/>
    <hyperlink ref="U60" r:id="rId135" display="Search"/>
    <hyperlink ref="T61" r:id="rId136" display="https://arxiv.org/abs/2303.11570"/>
    <hyperlink ref="U61" r:id="rId137" display="Search"/>
    <hyperlink ref="S62" r:id="rId138" display="https://github.com/fahadshamshad/Clip2Protect"/>
    <hyperlink ref="T62" r:id="rId139" display="https://arxiv.org/abs/2306.10008"/>
    <hyperlink ref="U62" r:id="rId140" display="Search"/>
    <hyperlink ref="S63" r:id="rId141" display="https://github.com/vinusankars/Convolution-based-Unlearnability"/>
    <hyperlink ref="T63" r:id="rId142" display="https://arxiv.org/abs/2303.04278"/>
    <hyperlink ref="U63" r:id="rId143" display="Search"/>
    <hyperlink ref="S64" r:id="rId144" display="https://github.com/vikram2000b/bad-teaching-unlearning"/>
    <hyperlink ref="T64" r:id="rId145" display="https://arxiv.org/abs/2205.08096"/>
    <hyperlink ref="U64" r:id="rId146" display="Search"/>
    <hyperlink ref="T65" r:id="rId147" display="https://doi.org/10.1109/TPAMI.2023.3312123"/>
    <hyperlink ref="U65" r:id="rId148" display="Search"/>
    <hyperlink ref="S66" r:id="rId149" display="https://github.com/mk-minchul/dcface"/>
    <hyperlink ref="T66" r:id="rId150" display="https://arxiv.org/abs/2304.07060"/>
    <hyperlink ref="U66" r:id="rId151" display="Search"/>
    <hyperlink ref="S67" r:id="rId152" display="https://github.com/hukkelas/deep_privacy2"/>
    <hyperlink ref="T67" r:id="rId153" display="https://arxiv.org/abs/2211.09454"/>
    <hyperlink ref="U67" r:id="rId154" display="Search"/>
    <hyperlink ref="S68" r:id="rId155" display="https://github.com/nv-tlabs/DP-Diffusion"/>
    <hyperlink ref="T68" r:id="rId156" display="https://arxiv.org/abs/2210.09929"/>
    <hyperlink ref="U68" r:id="rId157" display="Search"/>
    <hyperlink ref="T69" r:id="rId158" display="https://arxiv.org/abs/2302.13861"/>
    <hyperlink ref="U69" r:id="rId159" display="Search"/>
    <hyperlink ref="S70" r:id="rId160" display="https://github.com/microsoft/DigiFace1M"/>
    <hyperlink ref="T70" r:id="rId161" display="https://arxiv.org/abs/2210.02579"/>
    <hyperlink ref="U70" r:id="rId162" display="Search"/>
    <hyperlink ref="T71" r:id="rId163" display="https://openaccess.thecvf.com/content/ICCV2023/html/Wen_Divide_and_Conquer_a_Two-Step_Method_for_High_Quality_Face_ICCV_2023_paper.html"/>
    <hyperlink ref="U71" r:id="rId164" display="Search"/>
    <hyperlink ref="S72" r:id="rId165" display="https://github.com/hukkelas/deep_privacy2"/>
    <hyperlink ref="T72" r:id="rId166" display="https://arxiv.org/abs/2306.05135"/>
    <hyperlink ref="U72" r:id="rId167" display="Search"/>
    <hyperlink ref="S73" r:id="rId168" display="https://github.com/rohitgandikota/erasing"/>
    <hyperlink ref="T73" r:id="rId169" display="https://arxiv.org/abs/2303.07345"/>
    <hyperlink ref="U73" r:id="rId170" display="Search"/>
    <hyperlink ref="S74" r:id="rId171" display="https://github.com/MinChen00/Face-Auditor"/>
    <hyperlink ref="T74" r:id="rId172" display="https://arxiv.org/abs/2304.02782"/>
    <hyperlink ref="U74" r:id="rId173" display="Search"/>
    <hyperlink ref="T75" r:id="rId174" display="https://arxiv.org/abs/2309.04228"/>
    <hyperlink ref="U75" r:id="rId175" display="Search"/>
    <hyperlink ref="T76" r:id="rId176" display="https://proceedings.neurips.cc/paper_files/paper/2023/hash/29e4b51d45dc8f534260adc45b587363-Abstract-Conference.html"/>
    <hyperlink ref="U76" r:id="rId177" display="Search"/>
    <hyperlink ref="T77" r:id="rId178" display="https://arxiv.org/abs/2302.04222"/>
    <hyperlink ref="U77" r:id="rId179" display="Search"/>
    <hyperlink ref="S78" r:id="rId180" display="https://github.com/fdbtrs/IDiff-Face"/>
    <hyperlink ref="T78" r:id="rId181" display="https://arxiv.org/abs/2308.04995"/>
    <hyperlink ref="U78" r:id="rId182" display="Search"/>
    <hyperlink ref="T79" r:id="rId183" display="https://arxiv.org/abs/2310.19248"/>
    <hyperlink ref="U79" r:id="rId184" display="Search"/>
    <hyperlink ref="S80" r:id="rId185" display="https://github.com/liuzrcc/ImageShortcutSqueezing"/>
    <hyperlink ref="T80" r:id="rId186" display="https://arxiv.org/abs/2301.13838"/>
    <hyperlink ref="U80" r:id="rId187" display="Search"/>
    <hyperlink ref="T81" r:id="rId188" display="https://arxiv.org/abs/2302.08931"/>
    <hyperlink ref="U81" r:id="rId189" display="Search"/>
    <hyperlink ref="T82" r:id="rId190" display="https://arxiv.org/abs/2301.02516"/>
    <hyperlink ref="U82" r:id="rId191" display="Search"/>
    <hyperlink ref="T83" r:id="rId192" display="https://arxiv.org/abs/2211.01361"/>
    <hyperlink ref="U83" r:id="rId193" display="Search"/>
    <hyperlink ref="S84" r:id="rId194" display="https://github.com/cychomatica/One-Pixel-Shotcut"/>
    <hyperlink ref="T84" r:id="rId195" display="https://arxiv.org/abs/2205.12141"/>
    <hyperlink ref="U84" r:id="rId196" display="Search"/>
    <hyperlink ref="S85" r:id="rId197" display="https://github.com/Tencent/TFace"/>
    <hyperlink ref="T85" r:id="rId198" display="https://arxiv.org/abs/2308.10461"/>
    <hyperlink ref="U85" r:id="rId199" display="Search"/>
    <hyperlink ref="S86" r:id="rId200" display="https://github.com/MadryLab/photoguard"/>
    <hyperlink ref="T86" r:id="rId201" display="https://arxiv.org/abs/2302.06588"/>
    <hyperlink ref="U86" r:id="rId202" display="Search"/>
    <hyperlink ref="S87" r:id="rId203" display="https://github.com/DongzeLi-CASIA/RiDDLE"/>
    <hyperlink ref="T87" r:id="rId204" display="https://arxiv.org/abs/2303.05171"/>
    <hyperlink ref="U87" r:id="rId205" display="Search"/>
    <hyperlink ref="S88" r:id="rId206" display="https://github.com/clear-nus/selective-amnesia"/>
    <hyperlink ref="T88" r:id="rId207" display="https://arxiv.org/abs/2305.10120"/>
    <hyperlink ref="U88" r:id="rId208" display="Search"/>
    <hyperlink ref="T89" r:id="rId209" display="https://arxiv.org/abs/2112.04558"/>
    <hyperlink ref="U89" r:id="rId210" display="Search"/>
    <hyperlink ref="T90" r:id="rId211" display="https://arxiv.org/abs/2305.01021"/>
    <hyperlink ref="U90" r:id="rId212" display="Search"/>
    <hyperlink ref="S91" r:id="rId213" display="https://github.com/meghdadk/SCRUB"/>
    <hyperlink ref="T91" r:id="rId214" display="https://arxiv.org/abs/2302.09880"/>
    <hyperlink ref="U91" r:id="rId215" display="Search"/>
    <hyperlink ref="T92" r:id="rId216" display="https://arxiv.org/abs/2210.10114"/>
    <hyperlink ref="U92" r:id="rId217" display="Search"/>
    <hyperlink ref="S93" r:id="rId218" display="https://github.com/jiamingzhang94/Unlearnable-Clusters"/>
    <hyperlink ref="T93" r:id="rId219" display="https://arxiv.org/abs/2301.01217"/>
    <hyperlink ref="U93" r:id="rId220" display="Search"/>
    <hyperlink ref="T94" r:id="rId221" display="https://www.penguinrandomhouse.com/books/705578/your-face-belongs-to-us-by-kashmir-hill/"/>
    <hyperlink ref="U94" r:id="rId222" display="Search"/>
    <hyperlink ref="T95" r:id="rId223" display="https://arxiv.org/abs/2201.05629"/>
    <hyperlink ref="U95" r:id="rId224" display="Search"/>
    <hyperlink ref="S96" r:id="rId225" display="https://github.com/tamlhp/awesome-machine-unlearning"/>
    <hyperlink ref="T96" r:id="rId226" display="https://arxiv.org/abs/2209.02299"/>
    <hyperlink ref="U96" r:id="rId227" display="Search"/>
    <hyperlink ref="S97" r:id="rId228" display="https://github.com/AlonZolfi/AdversarialMask"/>
    <hyperlink ref="T97" r:id="rId229" display="https://arxiv.org/abs/2111.10759"/>
    <hyperlink ref="U97" r:id="rId230" display="Search"/>
    <hyperlink ref="S98" r:id="rId231" display="https://github.com/jinyugy21/Adv-Stickers_RHDE"/>
    <hyperlink ref="T98" r:id="rId232" display="https://arxiv.org/abs/2104.06728"/>
    <hyperlink ref="U98" r:id="rId233" display="Search"/>
    <hyperlink ref="T99" r:id="rId234" display="https://arxiv.org/abs/2111.12405"/>
    <hyperlink ref="U99" r:id="rId235" display="Search"/>
    <hyperlink ref="S100" r:id="rId236" display="https://github.com/psandovalsegura/autoregressive-poisoning"/>
    <hyperlink ref="T100" r:id="rId237" display="https://arxiv.org/abs/2206.03693"/>
    <hyperlink ref="U100" r:id="rId238" display="Search"/>
    <hyperlink ref="S101" r:id="rId239" display="https://github.com/dayu11/Availability-Attacks-Create-Shortcuts"/>
    <hyperlink ref="T101" r:id="rId240" display="https://arxiv.org/abs/2111.00898"/>
    <hyperlink ref="U101" r:id="rId241" display="Search"/>
    <hyperlink ref="S102" r:id="rId242" display="https://github.com/ftramer/FaceCure"/>
    <hyperlink ref="T102" r:id="rId243" display="https://arxiv.org/abs/2106.14851"/>
    <hyperlink ref="U102" r:id="rId244" display="Search"/>
    <hyperlink ref="T103" r:id="rId245" display="https://arxiv.org/abs/2102.02458"/>
    <hyperlink ref="U103" r:id="rId246" display="Search"/>
    <hyperlink ref="T104" r:id="rId247" display="https://doi.org/10.1016/j.future.2021.11.032"/>
    <hyperlink ref="U104" r:id="rId248" display="Search"/>
    <hyperlink ref="S105" r:id="rId249" display="https://github.com/Tencent/TFace"/>
    <hyperlink ref="T105" r:id="rId250" display="https://arxiv.org/abs/2207.07340"/>
    <hyperlink ref="U105" r:id="rId251" display="Search"/>
    <hyperlink ref="S106" r:id="rId252" display="https://github.com/jackie840129/FedFR"/>
    <hyperlink ref="T106" r:id="rId253" display="https://arxiv.org/abs/2112.12496"/>
    <hyperlink ref="U106" r:id="rId254" display="Search"/>
    <hyperlink ref="T107" r:id="rId255" display="https://arxiv.org/abs/2112.07246"/>
    <hyperlink ref="U107" r:id="rId256" display="Search"/>
    <hyperlink ref="S108" r:id="rId257" display="https://github.com/human-analysis/hers-encrypted-image-search"/>
    <hyperlink ref="T108" r:id="rId258" display="https://arxiv.org/abs/2003.12197"/>
    <hyperlink ref="U108" r:id="rId259" display="Search"/>
    <hyperlink ref="T109" r:id="rId260" display="https://doi.org/10.1109/IJCB54206.2022.10007960"/>
    <hyperlink ref="U109" r:id="rId261" display="Search"/>
    <hyperlink ref="T110" r:id="rId262" display="https://www.iso.org/standard/75302.html"/>
    <hyperlink ref="U110" r:id="rId263" display="Search"/>
    <hyperlink ref="T111" r:id="rId264" display="https://arxiv.org/abs/2103.01745"/>
    <hyperlink ref="U111" r:id="rId265" display="Search"/>
    <hyperlink ref="S112" r:id="rId266" display="https://github.com/zhongyy/OPOM"/>
    <hyperlink ref="T112" r:id="rId267" display="https://arxiv.org/abs/2205.11981"/>
    <hyperlink ref="U112" r:id="rId268" display="Search"/>
    <hyperlink ref="T113" r:id="rId269" display="https://doi.org/10.1609/aaai.v36i3.20157"/>
    <hyperlink ref="U113" r:id="rId270" display="Search"/>
    <hyperlink ref="S114" r:id="rId271" display="https://github.com/Tencent/TFace"/>
    <hyperlink ref="T114" r:id="rId272" display="https://arxiv.org/abs/2207.07316"/>
    <hyperlink ref="U114" r:id="rId273" display="Search"/>
    <hyperlink ref="S115" r:id="rId274" display="https://github.com/CGCL-codes/AMT-GAN"/>
    <hyperlink ref="T115" r:id="rId275" display="https://arxiv.org/abs/2203.03121"/>
    <hyperlink ref="U115" r:id="rId276" display="Search"/>
    <hyperlink ref="S116" r:id="rId277" display="https://github.com/fshp971/robust-unlearnable-examples"/>
    <hyperlink ref="T116" r:id="rId278" display="https://arxiv.org/abs/2203.14533"/>
    <hyperlink ref="U116" r:id="rId279" display="Search"/>
    <hyperlink ref="S117" r:id="rId280" display="https://github.com/fdbtrs/SFace-Privacy-friendly-and-Accurate-Face-Recognition-using-Synthetic-Data"/>
    <hyperlink ref="T117" r:id="rId281" display="https://arxiv.org/abs/2206.10520"/>
    <hyperlink ref="U117" r:id="rId282" display="Search"/>
    <hyperlink ref="S118" r:id="rId283" display="https://technology.idiap.ch/technologies/biometrics/polyprotect/"/>
    <hyperlink ref="T118" r:id="rId284" display="https://arxiv.org/abs/2110.00434"/>
    <hyperlink ref="U118" r:id="rId285" display="Search"/>
    <hyperlink ref="T119" r:id="rId286" display="https://doi.org/10.2478/popets-2022-0008"/>
    <hyperlink ref="U119" r:id="rId287" display="Search"/>
    <hyperlink ref="T120" r:id="rId288" display="https://arxiv.org/abs/2102.00813"/>
    <hyperlink ref="U120" r:id="rId289" display="Search"/>
    <hyperlink ref="S121" r:id="rId290" display="https://github.com/TencentYoutuResearch/Adv-Makeup"/>
    <hyperlink ref="T121" r:id="rId291" display="https://arxiv.org/abs/2105.03162"/>
    <hyperlink ref="U121" r:id="rId292" display="Search"/>
    <hyperlink ref="S122" r:id="rId293" display="https://github.com/lhfowl/adversarial_poisons"/>
    <hyperlink ref="T122" r:id="rId294" display="https://arxiv.org/abs/2106.10807"/>
    <hyperlink ref="U122" r:id="rId295" display="Search"/>
    <hyperlink ref="T123" r:id="rId296" display="https://arxiv.org/abs/2103.07073"/>
    <hyperlink ref="U123" r:id="rId297" display="Search"/>
    <hyperlink ref="T124" r:id="rId298" display="https://exposing.ai"/>
    <hyperlink ref="U124" r:id="rId299" display="Search"/>
    <hyperlink ref="S125" r:id="rId300" display="https://github.com/wi-pi/face-off"/>
    <hyperlink ref="T125" r:id="rId301" display="https://doi.org/10.2478/popets-2021-0032"/>
    <hyperlink ref="U125" r:id="rId302" display="Search"/>
    <hyperlink ref="T126" r:id="rId303" display="https://arxiv.org/abs/2104.03008"/>
    <hyperlink ref="U126" r:id="rId304" display="Search"/>
    <hyperlink ref="S127" r:id="rId305" display="https://github.com/evtimovi/foggysight"/>
    <hyperlink ref="T127" r:id="rId306" display="https://doi.org/10.2478/popets-2021-0044"/>
    <hyperlink ref="U127" r:id="rId307" display="Search"/>
    <hyperlink ref="T128" r:id="rId308" display="https://doi.org/10.1145/3474085.3475367"/>
    <hyperlink ref="U128" r:id="rId309" display="Search"/>
    <hyperlink ref="T129" r:id="rId310" display="https://arxiv.org/abs/2106.15058"/>
    <hyperlink ref="U129" r:id="rId311" display="Search"/>
    <hyperlink ref="T130" r:id="rId312" display="https://arxiv.org/abs/2104.02239"/>
    <hyperlink ref="U130" r:id="rId313" display="Search"/>
    <hyperlink ref="T131" r:id="rId314" display="https://arxiv.org/abs/2011.05315"/>
    <hyperlink ref="U131" r:id="rId315" display="Search"/>
    <hyperlink ref="T132" r:id="rId316" display="https://arxiv.org/abs/2006.16923"/>
    <hyperlink ref="U132" r:id="rId317" display="Search"/>
    <hyperlink ref="S133" r:id="rId318" display="https://github.com/carlosh93/privacy-optics-hpe"/>
    <hyperlink ref="T133" r:id="rId319" display="https://openaccess.thecvf.com/content/ICCV2021/html/Hinojosa_Learning_Privacy-Preserving_Optics_for_Human_Pose_Estimation_ICCV_2021_paper.html"/>
    <hyperlink ref="U133" r:id="rId320" display="Search"/>
    <hyperlink ref="S134" r:id="rId321" display="https://lowkey.umiacs.umd.edu"/>
    <hyperlink ref="T134" r:id="rId322" display="https://arxiv.org/abs/2101.07922"/>
    <hyperlink ref="U134" r:id="rId323" display="Search"/>
    <hyperlink ref="S135" r:id="rId324" display="https://github.com/cleverhans-lab/machine-unlearning"/>
    <hyperlink ref="T135" r:id="rId325" display="https://arxiv.org/abs/1912.03817"/>
    <hyperlink ref="U135" r:id="rId326" display="Search"/>
    <hyperlink ref="T136" r:id="rId327" display="https://doi.org/10.1007/s12083-021-01091-9"/>
    <hyperlink ref="U136" r:id="rId328" display="Search"/>
    <hyperlink ref="T137" r:id="rId329" display="https://doi.org/10.2478/popets-2021-0006"/>
    <hyperlink ref="U137" r:id="rId330" display="Search"/>
    <hyperlink ref="T138" r:id="rId331" display="https://arxiv.org/abs/2102.11502"/>
    <hyperlink ref="U138" r:id="rId332" display="Search"/>
    <hyperlink ref="T139" r:id="rId333" display="https://arxiv.org/abs/2108.03764"/>
    <hyperlink ref="U139" r:id="rId334" display="Search"/>
    <hyperlink ref="T140" r:id="rId335" display="https://openaccess.thecvf.com/content/ICCV2021/html/Cao_Personalized_and_Invertible_Face_De-Identification_by_Disentangled_Identity_Information_Manipulation_ICCV_2021_paper.html"/>
    <hyperlink ref="U140" r:id="rId336" display="Search"/>
    <hyperlink ref="T141" r:id="rId337" display="https://doi.org/10.1109/TIFS.2021.3096024"/>
    <hyperlink ref="U141" r:id="rId338" display="Search"/>
    <hyperlink ref="T142" r:id="rId339" display="https://arxiv.org/abs/1902.00334"/>
    <hyperlink ref="U142" r:id="rId340" display="Search"/>
    <hyperlink ref="S143" r:id="rId341" display="https://github.com/haibo-qiu/SynFace"/>
    <hyperlink ref="T143" r:id="rId342" display="https://arxiv.org/abs/2108.07960"/>
    <hyperlink ref="U143" r:id="rId343" display="Search"/>
    <hyperlink ref="S144" r:id="rId344" display="https://github.com/ShawnXYang/TIP-IM"/>
    <hyperlink ref="T144" r:id="rId345" display="https://arxiv.org/abs/2003.06814"/>
    <hyperlink ref="U144" r:id="rId346" display="Search"/>
    <hyperlink ref="T145" r:id="rId347" display="https://arxiv.org/abs/2104.02821"/>
    <hyperlink ref="U145" r:id="rId348" display="Search"/>
    <hyperlink ref="S146" r:id="rId349" display="https://github.com/HanxunH/Unlearnable-Examples"/>
    <hyperlink ref="T146" r:id="rId350" display="https://arxiv.org/abs/2101.04898"/>
    <hyperlink ref="U146" r:id="rId351" display="Search"/>
    <hyperlink ref="T147" r:id="rId352" display="https://arxiv.org/abs/1908.05008"/>
    <hyperlink ref="U147" r:id="rId353" display="Search"/>
    <hyperlink ref="S148" r:id="rId354" display="https://github.com/papermsucode/advhat"/>
    <hyperlink ref="T148" r:id="rId355" display="https://arxiv.org/abs/1908.08705"/>
    <hyperlink ref="U148" r:id="rId356" display="Search"/>
    <hyperlink ref="S149" r:id="rId357" display="https://github.com/dvl-tum/ciagan"/>
    <hyperlink ref="T149" r:id="rId358" display="https://arxiv.org/abs/2005.09544"/>
    <hyperlink ref="U149" r:id="rId359" display="Search"/>
    <hyperlink ref="T150" r:id="rId360" display="https://ieeexplore.ieee.org/document/9210976"/>
    <hyperlink ref="U150" r:id="rId361" display="Search"/>
    <hyperlink ref="S151" r:id="rId362" display="https://github.com/AdityaGolatkar/SelectiveForgetting"/>
    <hyperlink ref="T151" r:id="rId363" display="https://arxiv.org/abs/1911.04933"/>
    <hyperlink ref="U151" r:id="rId364" display="Search"/>
    <hyperlink ref="T152" r:id="rId365" display="https://www.ajl.org/federal-office-call"/>
    <hyperlink ref="U152" r:id="rId366" display="Search"/>
    <hyperlink ref="S153" r:id="rId367" display="https://github.com/Shawn-Shan/fawkes"/>
    <hyperlink ref="T153" r:id="rId368" display="https://arxiv.org/abs/2002.08327"/>
    <hyperlink ref="U153" r:id="rId369" display="Search"/>
    <hyperlink ref="S154" r:id="rId370" display="https://github.com/AdityaGolatkar/SelectiveForgetting"/>
    <hyperlink ref="T154" r:id="rId371" display="https://arxiv.org/abs/2003.02960"/>
    <hyperlink ref="U154" r:id="rId372" display="Search"/>
    <hyperlink ref="S155" r:id="rId373" display="https://github.com/Hazelsuko07/InstaHide"/>
    <hyperlink ref="T155" r:id="rId374" display="https://arxiv.org/abs/2010.02772"/>
    <hyperlink ref="U155" r:id="rId375" display="Search"/>
    <hyperlink ref="T156" r:id="rId376" display="https://doi.org/10.1109/FG47880.2020.00007"/>
    <hyperlink ref="U156" r:id="rId377" display="Search"/>
    <hyperlink ref="T157" r:id="rId378" display="https://doi.org/10.6028/NIST.IR.8331"/>
    <hyperlink ref="U157" r:id="rId379" display="Search"/>
    <hyperlink ref="T158" r:id="rId380" display="https://doi.org/10.1109/ACCESS.2020.2994960"/>
    <hyperlink ref="U158" r:id="rId381" display="Search"/>
    <hyperlink ref="S159" r:id="rId382" display="https://github.com/laoreja/face-identity-transformer"/>
    <hyperlink ref="T159" r:id="rId383" display="https://arxiv.org/abs/1911.11759"/>
    <hyperlink ref="U159" r:id="rId384" display="Search"/>
    <hyperlink ref="T160" r:id="rId385" display="https://ieeexplore.ieee.org/document/9211021"/>
    <hyperlink ref="U160" r:id="rId386" display="Search"/>
    <hyperlink ref="T161" r:id="rId387" display="https://doi.org/10.1016/j.cose.2020.101951"/>
    <hyperlink ref="U161" r:id="rId388" display="Search"/>
    <hyperlink ref="T162" r:id="rId389" display="https://arxiv.org/abs/2001.00561"/>
    <hyperlink ref="U162" r:id="rId390" display="Search"/>
    <hyperlink ref="T163" r:id="rId391" display="https://www.nytimes.com/2020/01/18/technology/clearview-privacy-facial-recognition.html"/>
    <hyperlink ref="U163" r:id="rId392" display="Search"/>
    <hyperlink ref="T164" r:id="rId393" display="https://arxiv.org/abs/2002.09181"/>
    <hyperlink ref="U164" r:id="rId394" display="Search"/>
    <hyperlink ref="T165" r:id="rId395" display="https://arxiv.org/abs/2003.06958"/>
    <hyperlink ref="U165" r:id="rId396" display="Search"/>
    <hyperlink ref="T166" r:id="rId397" display="https://arxiv.org/abs/1801.00349"/>
    <hyperlink ref="U166" r:id="rId398" display="Search"/>
    <hyperlink ref="T167" r:id="rId399" display="https://doi.org/10.1145/3306618.3314244"/>
    <hyperlink ref="U167" r:id="rId400" display="Search"/>
    <hyperlink ref="T168" r:id="rId401" display="https://arxiv.org/abs/1904.12620"/>
    <hyperlink ref="U168" r:id="rId402" display="Search"/>
    <hyperlink ref="S169" r:id="rId403" display="https://github.com/hukkelas/DeepPrivacy"/>
    <hyperlink ref="T169" r:id="rId404" display="https://arxiv.org/abs/1909.04538"/>
    <hyperlink ref="U169" r:id="rId405" display="Search"/>
    <hyperlink ref="T170" r:id="rId406" display="https://doi.org/10.1007/978-3-030-29726-8_15"/>
    <hyperlink ref="U170" r:id="rId407" display="Search"/>
    <hyperlink ref="T171" r:id="rId408" display="https://doi.org/10.6028/NIST.IR.8280"/>
    <hyperlink ref="U171" r:id="rId409" display="Search"/>
    <hyperlink ref="T172" r:id="rId410" display="https://doi.org/10.1109/ACCESS.2019.2924619"/>
    <hyperlink ref="U172" r:id="rId411" display="Search"/>
    <hyperlink ref="T173" r:id="rId412" display="https://arxiv.org/abs/1911.08348"/>
    <hyperlink ref="U173" r:id="rId413" display="Search"/>
    <hyperlink ref="T174" r:id="rId414" display="https://arxiv.org/abs/1703.00832"/>
    <hyperlink ref="U174" r:id="rId415" display="Search"/>
    <hyperlink ref="T175" r:id="rId416" display="https://openreview.net/forum?id=S1zk9iRqF7"/>
    <hyperlink ref="U175" r:id="rId417" display="Search"/>
    <hyperlink ref="T176" r:id="rId418" display="https://doi.org/10.1109/ICME.2019.00140"/>
    <hyperlink ref="U176" r:id="rId419" display="Search"/>
    <hyperlink ref="T177" r:id="rId420" display="https://doi.org/10.1109/ICB45695.2019.8987331"/>
    <hyperlink ref="U177" r:id="rId421" display="Search"/>
    <hyperlink ref="T178" r:id="rId422" display="https://arxiv.org/abs/1804.04779"/>
    <hyperlink ref="U178" r:id="rId423" display="Search"/>
    <hyperlink ref="T179" r:id="rId424" display="https://arxiv.org/abs/1802.06739"/>
    <hyperlink ref="U179" r:id="rId425" display="Search"/>
    <hyperlink ref="T180" r:id="rId426" display="https://doi.org/10.1109/CVPRW.2018.00087"/>
    <hyperlink ref="U180" r:id="rId427" display="Search"/>
    <hyperlink ref="T181" r:id="rId428" display="https://proceedings.mlr.press/v81/buolamwini18a.html"/>
    <hyperlink ref="U181" r:id="rId429" display="Search"/>
    <hyperlink ref="T182" r:id="rId430" display="https://doi.org/10.1109/TIFS.2017.2788000"/>
    <hyperlink ref="U182" r:id="rId431" display="Search"/>
    <hyperlink ref="T183" r:id="rId432" display="https://doi.org/10.1007/978-3-319-95729-6_10"/>
    <hyperlink ref="U183" r:id="rId433" display="Search"/>
    <hyperlink ref="T184" r:id="rId434" display="https://arxiv.org/abs/1803.04683"/>
    <hyperlink ref="U184" r:id="rId435" display="Search"/>
    <hyperlink ref="T185" r:id="rId436" display="https://arxiv.org/abs/1803.11556"/>
    <hyperlink ref="U185" r:id="rId437" display="Search"/>
    <hyperlink ref="T186" r:id="rId438" display="https://arxiv.org/abs/1711.09001"/>
    <hyperlink ref="U186" r:id="rId439" display="Search"/>
    <hyperlink ref="S187" r:id="rId440" display="https://github.com/human-analysis/secure-face-matching"/>
    <hyperlink ref="T187" r:id="rId441" display="https://arxiv.org/abs/1805.00577"/>
    <hyperlink ref="U187" r:id="rId442" display="Search"/>
    <hyperlink ref="T188" r:id="rId443" display="https://arxiv.org/abs/1712.00321"/>
    <hyperlink ref="U188" r:id="rId444" display="Search"/>
    <hyperlink ref="T189" r:id="rId445" display="https://arxiv.org/abs/1807.08379"/>
    <hyperlink ref="U189" r:id="rId446" display="Search"/>
    <hyperlink ref="T190" r:id="rId447" display="https://doi.org/10.3390/e20010060"/>
    <hyperlink ref="U190" r:id="rId448" display="Search"/>
    <hyperlink ref="T191" r:id="rId449" display="https://arxiv.org/abs/1703.09471"/>
    <hyperlink ref="U191" r:id="rId450" display="Search"/>
    <hyperlink ref="T192" r:id="rId451" display="https://doi.org/10.1109/CVPRW.2017.173"/>
    <hyperlink ref="U192" r:id="rId452" display="Search"/>
    <hyperlink ref="T193" r:id="rId453" display="https://arxiv.org/abs/1610.05820"/>
    <hyperlink ref="U193" r:id="rId454" display="Search"/>
    <hyperlink ref="T194" r:id="rId455" display="https://ojs.aaai.org/index.php/AAAI/article/view/11233"/>
    <hyperlink ref="U194" r:id="rId456" display="Search"/>
    <hyperlink ref="T195" r:id="rId457" display="https://doi.org/10.1109/BTAS.2017.8272743"/>
    <hyperlink ref="U195" r:id="rId458" display="Search"/>
    <hyperlink ref="T196" r:id="rId459" display="https://doi.org/10.1145/2976749.2978392"/>
    <hyperlink ref="U196" r:id="rId460" display="Search"/>
    <hyperlink ref="T197" r:id="rId461" display="https://doi.org/10.1016/j.image.2016.05.020"/>
    <hyperlink ref="U197" r:id="rId462" display="Search"/>
    <hyperlink ref="S198" r:id="rId463" display="https://github.com/tensorflow/privacy"/>
    <hyperlink ref="T198" r:id="rId464" display="https://arxiv.org/abs/1607.00133"/>
    <hyperlink ref="U198" r:id="rId465" display="Search"/>
    <hyperlink ref="T199" r:id="rId466" display="https://doi.org/10.1109/CVPRW.2016.17"/>
    <hyperlink ref="U199" r:id="rId467" display="Search"/>
    <hyperlink ref="T200" r:id="rId468" display="https://arxiv.org/abs/1609.00408"/>
    <hyperlink ref="U200" r:id="rId469" display="Search"/>
    <hyperlink ref="T201" r:id="rId470" display="https://arxiv.org/abs/1607.08438"/>
    <hyperlink ref="U201" r:id="rId471" display="Search"/>
    <hyperlink ref="T202" r:id="rId472" display="https://arxiv.org/abs/1606.04189"/>
    <hyperlink ref="U202" r:id="rId473" display="Search"/>
    <hyperlink ref="T203" r:id="rId474" display="https://arxiv.org/abs/1607.08221"/>
    <hyperlink ref="U203" r:id="rId475" display="Search"/>
    <hyperlink ref="T204" r:id="rId476" display="https://www.perpetuallineup.org"/>
    <hyperlink ref="U204" r:id="rId477" display="Search"/>
    <hyperlink ref="T205" r:id="rId478" display="https://doi.org/10.1109/MSP.2015.2427849"/>
    <hyperlink ref="U205" r:id="rId479" display="Search"/>
    <hyperlink ref="T206" r:id="rId480" display="https://doi.org/10.1145/2810103.2813603"/>
    <hyperlink ref="U206" r:id="rId481" display="Search"/>
    <hyperlink ref="T207" r:id="rId482" display="https://doi.org/10.1109/CVPR.2015.7298658"/>
    <hyperlink ref="U207" r:id="rId483" display="Search"/>
    <hyperlink ref="T208" r:id="rId484" display="https://www.reflectacles.com"/>
    <hyperlink ref="U208" r:id="rId485" display="Search"/>
    <hyperlink ref="T209" r:id="rId486" display="https://doi.org/10.1109/SP.2015.35"/>
    <hyperlink ref="U209" r:id="rId487" display="Search"/>
    <hyperlink ref="T210" r:id="rId488" display="https://doi.org/10.1016/j.eswa.2015.01.041"/>
    <hyperlink ref="U210" r:id="rId489" display="Search"/>
    <hyperlink ref="T211" r:id="rId490" display="https://doi.org/10.1109/ICDSP.2013.6622791"/>
    <hyperlink ref="U211" r:id="rId491" display="Search"/>
    <hyperlink ref="T212" r:id="rId492" display="https://cvdazzle.com"/>
    <hyperlink ref="U212" r:id="rId493" display="Search"/>
    <hyperlink ref="T213" r:id="rId494" display="https://doi.org/10.1109/SP.2010.39"/>
    <hyperlink ref="U213" r:id="rId495" display="Search"/>
    <hyperlink ref="T214" r:id="rId496" display="https://doi.org/10.1007/978-3-642-14423-3_16"/>
    <hyperlink ref="U214" r:id="rId497" display="Search"/>
    <hyperlink ref="T215" r:id="rId498" display="https://doi.org/10.1007/978-1-84882-301-3_8"/>
    <hyperlink ref="U215" r:id="rId499" display="Search"/>
    <hyperlink ref="T216" r:id="rId500" display="https://doi.org/10.1109/ICCV.2009.5459413"/>
    <hyperlink ref="U216" r:id="rId501" display="Search"/>
    <hyperlink ref="T217" r:id="rId502" display="https://doi.org/10.1007/978-3-642-03168-7_14"/>
    <hyperlink ref="U217" r:id="rId503" display="Search"/>
    <hyperlink ref="T218" r:id="rId504" display="https://doi.org/10.1145/1360612.1360638"/>
    <hyperlink ref="U218" r:id="rId505" display="Search"/>
    <hyperlink ref="T219" r:id="rId506" display="https://doi.org/10.1109/TCSVT.2008.928225"/>
    <hyperlink ref="U219" r:id="rId507" display="Search"/>
    <hyperlink ref="T220" r:id="rId508" display="https://doi.org/10.1145/1143518.1143519"/>
    <hyperlink ref="U220" r:id="rId509" display="Search"/>
    <hyperlink ref="T221" r:id="rId510" display="https://doi.org/10.1007/11681878_14"/>
    <hyperlink ref="U221" r:id="rId511" display="Search"/>
    <hyperlink ref="T222" r:id="rId512" display="https://doi.org/10.1109/CVPRW.2006.125"/>
    <hyperlink ref="U222" r:id="rId513" display="Search"/>
    <hyperlink ref="T223" r:id="rId514" display="https://doi.org/10.1007/11767831_15"/>
    <hyperlink ref="U223" r:id="rId515" display="Search"/>
    <hyperlink ref="T224" r:id="rId516" display="https://doi.org/10.1109/TKDE.2005.32"/>
    <hyperlink ref="U224" r:id="rId517" display="Search"/>
    <hyperlink ref="T225" r:id="rId518" display="https://doi.org/10.1016/j.patcog.2004.04.011"/>
    <hyperlink ref="U225" r:id="rId519" display="Search"/>
    <hyperlink ref="T226" r:id="rId520" display="https://doi.org/10.1109/ISIT.2002.1023680"/>
    <hyperlink ref="U226" r:id="rId521" display="Search"/>
    <hyperlink ref="T227" r:id="rId522" display="https://doi.org/10.1147/sj.403.0614"/>
    <hyperlink ref="U227" r:id="rId523" display="Search"/>
    <hyperlink ref="T228" r:id="rId524" display="https://doi.org/10.1145/358916.358935"/>
    <hyperlink ref="U228" r:id="rId525" display="Search"/>
    <hyperlink ref="T229" r:id="rId526" display="https://doi.org/10.1145/319709.319714"/>
    <hyperlink ref="U229" r:id="rId52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8"/>
    <col collapsed="false" customWidth="true" hidden="false" outlineLevel="0" max="12" min="2" style="0" width="11"/>
  </cols>
  <sheetData>
    <row r="1" customFormat="false" ht="15" hidden="false" customHeight="false" outlineLevel="0" collapsed="false">
      <c r="A1" s="13" t="s">
        <v>2679</v>
      </c>
    </row>
    <row r="2" customFormat="false" ht="15" hidden="false" customHeight="false" outlineLevel="0" collapsed="false">
      <c r="A2" s="14" t="s">
        <v>2680</v>
      </c>
    </row>
    <row r="4" customFormat="false" ht="15" hidden="false" customHeight="false" outlineLevel="0" collapsed="false">
      <c r="A4" s="27" t="s">
        <v>38</v>
      </c>
      <c r="B4" s="27" t="s">
        <v>2681</v>
      </c>
      <c r="C4" s="27" t="s">
        <v>2682</v>
      </c>
      <c r="D4" s="27" t="s">
        <v>2683</v>
      </c>
      <c r="E4" s="27" t="s">
        <v>2684</v>
      </c>
      <c r="F4" s="27" t="s">
        <v>2685</v>
      </c>
      <c r="G4" s="27" t="s">
        <v>2686</v>
      </c>
      <c r="H4" s="27" t="s">
        <v>2687</v>
      </c>
      <c r="I4" s="27" t="s">
        <v>2688</v>
      </c>
      <c r="J4" s="27" t="s">
        <v>2689</v>
      </c>
      <c r="K4" s="27" t="s">
        <v>2690</v>
      </c>
      <c r="L4" s="27" t="s">
        <v>2691</v>
      </c>
    </row>
    <row r="5" customFormat="false" ht="15" hidden="false" customHeight="false" outlineLevel="0" collapsed="false">
      <c r="A5" s="28" t="s">
        <v>5</v>
      </c>
      <c r="B5" s="29" t="n">
        <f aca="false">COUNTIFS('All papers'!$H$5:$H$229,$A5,'All papers'!$E$5:$E$229,"&lt;2018")</f>
        <v>13</v>
      </c>
      <c r="C5" s="29" t="n">
        <f aca="false">COUNTIFS('All papers'!$H$5:$H$229,$A5,'All papers'!$E$5:$E$229,2018)</f>
        <v>2</v>
      </c>
      <c r="D5" s="29" t="n">
        <f aca="false">COUNTIFS('All papers'!$H$5:$H$229,$A5,'All papers'!$E$5:$E$229,2019)</f>
        <v>0</v>
      </c>
      <c r="E5" s="29" t="n">
        <f aca="false">COUNTIFS('All papers'!$H$5:$H$229,$A5,'All papers'!$E$5:$E$229,2020)</f>
        <v>0</v>
      </c>
      <c r="F5" s="29" t="n">
        <f aca="false">COUNTIFS('All papers'!$H$5:$H$229,$A5,'All papers'!$E$5:$E$229,2021)</f>
        <v>1</v>
      </c>
      <c r="G5" s="29" t="n">
        <f aca="false">COUNTIFS('All papers'!$H$5:$H$229,$A5,'All papers'!$E$5:$E$229,2022)</f>
        <v>0</v>
      </c>
      <c r="H5" s="29" t="n">
        <f aca="false">COUNTIFS('All papers'!$H$5:$H$229,$A5,'All papers'!$E$5:$E$229,2023)</f>
        <v>0</v>
      </c>
      <c r="I5" s="29" t="n">
        <f aca="false">COUNTIFS('All papers'!$H$5:$H$229,$A5,'All papers'!$E$5:$E$229,2024)</f>
        <v>0</v>
      </c>
      <c r="J5" s="29" t="n">
        <f aca="false">COUNTIFS('All papers'!$H$5:$H$229,$A5,'All papers'!$E$5:$E$229,2025)</f>
        <v>0</v>
      </c>
      <c r="K5" s="29" t="n">
        <f aca="false">COUNTIFS('All papers'!$H$5:$H$229,$A5,'All papers'!$E$5:$E$229,2026)</f>
        <v>0</v>
      </c>
      <c r="L5" s="30" t="n">
        <f aca="false">SUM(B5:K5)</f>
        <v>16</v>
      </c>
    </row>
    <row r="6" customFormat="false" ht="15" hidden="false" customHeight="false" outlineLevel="0" collapsed="false">
      <c r="A6" s="28" t="s">
        <v>7</v>
      </c>
      <c r="B6" s="29" t="n">
        <f aca="false">COUNTIFS('All papers'!$H$5:$H$229,$A6,'All papers'!$E$5:$E$229,"&lt;2018")</f>
        <v>2</v>
      </c>
      <c r="C6" s="29" t="n">
        <f aca="false">COUNTIFS('All papers'!$H$5:$H$229,$A6,'All papers'!$E$5:$E$229,2018)</f>
        <v>2</v>
      </c>
      <c r="D6" s="29" t="n">
        <f aca="false">COUNTIFS('All papers'!$H$5:$H$229,$A6,'All papers'!$E$5:$E$229,2019)</f>
        <v>3</v>
      </c>
      <c r="E6" s="29" t="n">
        <f aca="false">COUNTIFS('All papers'!$H$5:$H$229,$A6,'All papers'!$E$5:$E$229,2020)</f>
        <v>1</v>
      </c>
      <c r="F6" s="29" t="n">
        <f aca="false">COUNTIFS('All papers'!$H$5:$H$229,$A6,'All papers'!$E$5:$E$229,2021)</f>
        <v>2</v>
      </c>
      <c r="G6" s="29" t="n">
        <f aca="false">COUNTIFS('All papers'!$H$5:$H$229,$A6,'All papers'!$E$5:$E$229,2022)</f>
        <v>2</v>
      </c>
      <c r="H6" s="29" t="n">
        <f aca="false">COUNTIFS('All papers'!$H$5:$H$229,$A6,'All papers'!$E$5:$E$229,2023)</f>
        <v>2</v>
      </c>
      <c r="I6" s="29" t="n">
        <f aca="false">COUNTIFS('All papers'!$H$5:$H$229,$A6,'All papers'!$E$5:$E$229,2024)</f>
        <v>0</v>
      </c>
      <c r="J6" s="29" t="n">
        <f aca="false">COUNTIFS('All papers'!$H$5:$H$229,$A6,'All papers'!$E$5:$E$229,2025)</f>
        <v>0</v>
      </c>
      <c r="K6" s="29" t="n">
        <f aca="false">COUNTIFS('All papers'!$H$5:$H$229,$A6,'All papers'!$E$5:$E$229,2026)</f>
        <v>0</v>
      </c>
      <c r="L6" s="30" t="n">
        <f aca="false">SUM(B6:K6)</f>
        <v>14</v>
      </c>
    </row>
    <row r="7" customFormat="false" ht="15" hidden="false" customHeight="false" outlineLevel="0" collapsed="false">
      <c r="A7" s="31" t="s">
        <v>9</v>
      </c>
      <c r="B7" s="29" t="n">
        <f aca="false">COUNTIFS('All papers'!$H$5:$H$229,$A7,'All papers'!$E$5:$E$229,"&lt;2018")</f>
        <v>1</v>
      </c>
      <c r="C7" s="29" t="n">
        <f aca="false">COUNTIFS('All papers'!$H$5:$H$229,$A7,'All papers'!$E$5:$E$229,2018)</f>
        <v>3</v>
      </c>
      <c r="D7" s="29" t="n">
        <f aca="false">COUNTIFS('All papers'!$H$5:$H$229,$A7,'All papers'!$E$5:$E$229,2019)</f>
        <v>3</v>
      </c>
      <c r="E7" s="29" t="n">
        <f aca="false">COUNTIFS('All papers'!$H$5:$H$229,$A7,'All papers'!$E$5:$E$229,2020)</f>
        <v>2</v>
      </c>
      <c r="F7" s="29" t="n">
        <f aca="false">COUNTIFS('All papers'!$H$5:$H$229,$A7,'All papers'!$E$5:$E$229,2021)</f>
        <v>2</v>
      </c>
      <c r="G7" s="29" t="n">
        <f aca="false">COUNTIFS('All papers'!$H$5:$H$229,$A7,'All papers'!$E$5:$E$229,2022)</f>
        <v>0</v>
      </c>
      <c r="H7" s="29" t="n">
        <f aca="false">COUNTIFS('All papers'!$H$5:$H$229,$A7,'All papers'!$E$5:$E$229,2023)</f>
        <v>7</v>
      </c>
      <c r="I7" s="29" t="n">
        <f aca="false">COUNTIFS('All papers'!$H$5:$H$229,$A7,'All papers'!$E$5:$E$229,2024)</f>
        <v>6</v>
      </c>
      <c r="J7" s="29" t="n">
        <f aca="false">COUNTIFS('All papers'!$H$5:$H$229,$A7,'All papers'!$E$5:$E$229,2025)</f>
        <v>4</v>
      </c>
      <c r="K7" s="29" t="n">
        <f aca="false">COUNTIFS('All papers'!$H$5:$H$229,$A7,'All papers'!$E$5:$E$229,2026)</f>
        <v>0</v>
      </c>
      <c r="L7" s="30" t="n">
        <f aca="false">SUM(B7:K7)</f>
        <v>28</v>
      </c>
    </row>
    <row r="8" customFormat="false" ht="15" hidden="false" customHeight="false" outlineLevel="0" collapsed="false">
      <c r="A8" s="32" t="s">
        <v>11</v>
      </c>
      <c r="B8" s="29" t="n">
        <f aca="false">COUNTIFS('All papers'!$H$5:$H$229,$A8,'All papers'!$E$5:$E$229,"&lt;2018")</f>
        <v>4</v>
      </c>
      <c r="C8" s="29" t="n">
        <f aca="false">COUNTIFS('All papers'!$H$5:$H$229,$A8,'All papers'!$E$5:$E$229,2018)</f>
        <v>1</v>
      </c>
      <c r="D8" s="29" t="n">
        <f aca="false">COUNTIFS('All papers'!$H$5:$H$229,$A8,'All papers'!$E$5:$E$229,2019)</f>
        <v>1</v>
      </c>
      <c r="E8" s="29" t="n">
        <f aca="false">COUNTIFS('All papers'!$H$5:$H$229,$A8,'All papers'!$E$5:$E$229,2020)</f>
        <v>3</v>
      </c>
      <c r="F8" s="29" t="n">
        <f aca="false">COUNTIFS('All papers'!$H$5:$H$229,$A8,'All papers'!$E$5:$E$229,2021)</f>
        <v>7</v>
      </c>
      <c r="G8" s="29" t="n">
        <f aca="false">COUNTIFS('All papers'!$H$5:$H$229,$A8,'All papers'!$E$5:$E$229,2022)</f>
        <v>5</v>
      </c>
      <c r="H8" s="29" t="n">
        <f aca="false">COUNTIFS('All papers'!$H$5:$H$229,$A8,'All papers'!$E$5:$E$229,2023)</f>
        <v>1</v>
      </c>
      <c r="I8" s="29" t="n">
        <f aca="false">COUNTIFS('All papers'!$H$5:$H$229,$A8,'All papers'!$E$5:$E$229,2024)</f>
        <v>2</v>
      </c>
      <c r="J8" s="29" t="n">
        <f aca="false">COUNTIFS('All papers'!$H$5:$H$229,$A8,'All papers'!$E$5:$E$229,2025)</f>
        <v>5</v>
      </c>
      <c r="K8" s="29" t="n">
        <f aca="false">COUNTIFS('All papers'!$H$5:$H$229,$A8,'All papers'!$E$5:$E$229,2026)</f>
        <v>1</v>
      </c>
      <c r="L8" s="30" t="n">
        <f aca="false">SUM(B8:K8)</f>
        <v>30</v>
      </c>
    </row>
    <row r="9" customFormat="false" ht="15" hidden="false" customHeight="false" outlineLevel="0" collapsed="false">
      <c r="A9" s="32" t="s">
        <v>13</v>
      </c>
      <c r="B9" s="29" t="n">
        <f aca="false">COUNTIFS('All papers'!$H$5:$H$229,$A9,'All papers'!$E$5:$E$229,"&lt;2018")</f>
        <v>0</v>
      </c>
      <c r="C9" s="29" t="n">
        <f aca="false">COUNTIFS('All papers'!$H$5:$H$229,$A9,'All papers'!$E$5:$E$229,2018)</f>
        <v>0</v>
      </c>
      <c r="D9" s="29" t="n">
        <f aca="false">COUNTIFS('All papers'!$H$5:$H$229,$A9,'All papers'!$E$5:$E$229,2019)</f>
        <v>0</v>
      </c>
      <c r="E9" s="29" t="n">
        <f aca="false">COUNTIFS('All papers'!$H$5:$H$229,$A9,'All papers'!$E$5:$E$229,2020)</f>
        <v>0</v>
      </c>
      <c r="F9" s="29" t="n">
        <f aca="false">COUNTIFS('All papers'!$H$5:$H$229,$A9,'All papers'!$E$5:$E$229,2021)</f>
        <v>2</v>
      </c>
      <c r="G9" s="29" t="n">
        <f aca="false">COUNTIFS('All papers'!$H$5:$H$229,$A9,'All papers'!$E$5:$E$229,2022)</f>
        <v>3</v>
      </c>
      <c r="H9" s="29" t="n">
        <f aca="false">COUNTIFS('All papers'!$H$5:$H$229,$A9,'All papers'!$E$5:$E$229,2023)</f>
        <v>8</v>
      </c>
      <c r="I9" s="29" t="n">
        <f aca="false">COUNTIFS('All papers'!$H$5:$H$229,$A9,'All papers'!$E$5:$E$229,2024)</f>
        <v>5</v>
      </c>
      <c r="J9" s="29" t="n">
        <f aca="false">COUNTIFS('All papers'!$H$5:$H$229,$A9,'All papers'!$E$5:$E$229,2025)</f>
        <v>1</v>
      </c>
      <c r="K9" s="29" t="n">
        <f aca="false">COUNTIFS('All papers'!$H$5:$H$229,$A9,'All papers'!$E$5:$E$229,2026)</f>
        <v>0</v>
      </c>
      <c r="L9" s="30" t="n">
        <f aca="false">SUM(B9:K9)</f>
        <v>19</v>
      </c>
    </row>
    <row r="10" customFormat="false" ht="15" hidden="false" customHeight="false" outlineLevel="0" collapsed="false">
      <c r="A10" s="33" t="s">
        <v>15</v>
      </c>
      <c r="B10" s="29" t="n">
        <f aca="false">COUNTIFS('All papers'!$H$5:$H$229,$A10,'All papers'!$E$5:$E$229,"&lt;2018")</f>
        <v>9</v>
      </c>
      <c r="C10" s="29" t="n">
        <f aca="false">COUNTIFS('All papers'!$H$5:$H$229,$A10,'All papers'!$E$5:$E$229,2018)</f>
        <v>3</v>
      </c>
      <c r="D10" s="29" t="n">
        <f aca="false">COUNTIFS('All papers'!$H$5:$H$229,$A10,'All papers'!$E$5:$E$229,2019)</f>
        <v>0</v>
      </c>
      <c r="E10" s="29" t="n">
        <f aca="false">COUNTIFS('All papers'!$H$5:$H$229,$A10,'All papers'!$E$5:$E$229,2020)</f>
        <v>1</v>
      </c>
      <c r="F10" s="29" t="n">
        <f aca="false">COUNTIFS('All papers'!$H$5:$H$229,$A10,'All papers'!$E$5:$E$229,2021)</f>
        <v>1</v>
      </c>
      <c r="G10" s="29" t="n">
        <f aca="false">COUNTIFS('All papers'!$H$5:$H$229,$A10,'All papers'!$E$5:$E$229,2022)</f>
        <v>8</v>
      </c>
      <c r="H10" s="29" t="n">
        <f aca="false">COUNTIFS('All papers'!$H$5:$H$229,$A10,'All papers'!$E$5:$E$229,2023)</f>
        <v>2</v>
      </c>
      <c r="I10" s="29" t="n">
        <f aca="false">COUNTIFS('All papers'!$H$5:$H$229,$A10,'All papers'!$E$5:$E$229,2024)</f>
        <v>1</v>
      </c>
      <c r="J10" s="29" t="n">
        <f aca="false">COUNTIFS('All papers'!$H$5:$H$229,$A10,'All papers'!$E$5:$E$229,2025)</f>
        <v>0</v>
      </c>
      <c r="K10" s="29" t="n">
        <f aca="false">COUNTIFS('All papers'!$H$5:$H$229,$A10,'All papers'!$E$5:$E$229,2026)</f>
        <v>0</v>
      </c>
      <c r="L10" s="30" t="n">
        <f aca="false">SUM(B10:K10)</f>
        <v>25</v>
      </c>
    </row>
    <row r="11" customFormat="false" ht="15" hidden="false" customHeight="false" outlineLevel="0" collapsed="false">
      <c r="A11" s="34" t="s">
        <v>17</v>
      </c>
      <c r="B11" s="29" t="n">
        <f aca="false">COUNTIFS('All papers'!$H$5:$H$229,$A11,'All papers'!$E$5:$E$229,"&lt;2018")</f>
        <v>1</v>
      </c>
      <c r="C11" s="29" t="n">
        <f aca="false">COUNTIFS('All papers'!$H$5:$H$229,$A11,'All papers'!$E$5:$E$229,2018)</f>
        <v>1</v>
      </c>
      <c r="D11" s="29" t="n">
        <f aca="false">COUNTIFS('All papers'!$H$5:$H$229,$A11,'All papers'!$E$5:$E$229,2019)</f>
        <v>2</v>
      </c>
      <c r="E11" s="29" t="n">
        <f aca="false">COUNTIFS('All papers'!$H$5:$H$229,$A11,'All papers'!$E$5:$E$229,2020)</f>
        <v>5</v>
      </c>
      <c r="F11" s="29" t="n">
        <f aca="false">COUNTIFS('All papers'!$H$5:$H$229,$A11,'All papers'!$E$5:$E$229,2021)</f>
        <v>2</v>
      </c>
      <c r="G11" s="29" t="n">
        <f aca="false">COUNTIFS('All papers'!$H$5:$H$229,$A11,'All papers'!$E$5:$E$229,2022)</f>
        <v>0</v>
      </c>
      <c r="H11" s="29" t="n">
        <f aca="false">COUNTIFS('All papers'!$H$5:$H$229,$A11,'All papers'!$E$5:$E$229,2023)</f>
        <v>1</v>
      </c>
      <c r="I11" s="29" t="n">
        <f aca="false">COUNTIFS('All papers'!$H$5:$H$229,$A11,'All papers'!$E$5:$E$229,2024)</f>
        <v>0</v>
      </c>
      <c r="J11" s="29" t="n">
        <f aca="false">COUNTIFS('All papers'!$H$5:$H$229,$A11,'All papers'!$E$5:$E$229,2025)</f>
        <v>0</v>
      </c>
      <c r="K11" s="29" t="n">
        <f aca="false">COUNTIFS('All papers'!$H$5:$H$229,$A11,'All papers'!$E$5:$E$229,2026)</f>
        <v>0</v>
      </c>
      <c r="L11" s="30" t="n">
        <f aca="false">SUM(B11:K11)</f>
        <v>12</v>
      </c>
    </row>
    <row r="12" customFormat="false" ht="15" hidden="false" customHeight="false" outlineLevel="0" collapsed="false">
      <c r="A12" s="35" t="s">
        <v>19</v>
      </c>
      <c r="B12" s="29" t="n">
        <f aca="false">COUNTIFS('All papers'!$H$5:$H$229,$A12,'All papers'!$E$5:$E$229,"&lt;2018")</f>
        <v>1</v>
      </c>
      <c r="C12" s="29" t="n">
        <f aca="false">COUNTIFS('All papers'!$H$5:$H$229,$A12,'All papers'!$E$5:$E$229,2018)</f>
        <v>0</v>
      </c>
      <c r="D12" s="29" t="n">
        <f aca="false">COUNTIFS('All papers'!$H$5:$H$229,$A12,'All papers'!$E$5:$E$229,2019)</f>
        <v>0</v>
      </c>
      <c r="E12" s="29" t="n">
        <f aca="false">COUNTIFS('All papers'!$H$5:$H$229,$A12,'All papers'!$E$5:$E$229,2020)</f>
        <v>1</v>
      </c>
      <c r="F12" s="29" t="n">
        <f aca="false">COUNTIFS('All papers'!$H$5:$H$229,$A12,'All papers'!$E$5:$E$229,2021)</f>
        <v>3</v>
      </c>
      <c r="G12" s="29" t="n">
        <f aca="false">COUNTIFS('All papers'!$H$5:$H$229,$A12,'All papers'!$E$5:$E$229,2022)</f>
        <v>3</v>
      </c>
      <c r="H12" s="29" t="n">
        <f aca="false">COUNTIFS('All papers'!$H$5:$H$229,$A12,'All papers'!$E$5:$E$229,2023)</f>
        <v>4</v>
      </c>
      <c r="I12" s="29" t="n">
        <f aca="false">COUNTIFS('All papers'!$H$5:$H$229,$A12,'All papers'!$E$5:$E$229,2024)</f>
        <v>2</v>
      </c>
      <c r="J12" s="29" t="n">
        <f aca="false">COUNTIFS('All papers'!$H$5:$H$229,$A12,'All papers'!$E$5:$E$229,2025)</f>
        <v>1</v>
      </c>
      <c r="K12" s="29" t="n">
        <f aca="false">COUNTIFS('All papers'!$H$5:$H$229,$A12,'All papers'!$E$5:$E$229,2026)</f>
        <v>0</v>
      </c>
      <c r="L12" s="30" t="n">
        <f aca="false">SUM(B12:K12)</f>
        <v>15</v>
      </c>
    </row>
    <row r="13" customFormat="false" ht="15" hidden="false" customHeight="false" outlineLevel="0" collapsed="false">
      <c r="A13" s="35" t="s">
        <v>21</v>
      </c>
      <c r="B13" s="29" t="n">
        <f aca="false">COUNTIFS('All papers'!$H$5:$H$229,$A13,'All papers'!$E$5:$E$229,"&lt;2018")</f>
        <v>2</v>
      </c>
      <c r="C13" s="29" t="n">
        <f aca="false">COUNTIFS('All papers'!$H$5:$H$229,$A13,'All papers'!$E$5:$E$229,2018)</f>
        <v>0</v>
      </c>
      <c r="D13" s="29" t="n">
        <f aca="false">COUNTIFS('All papers'!$H$5:$H$229,$A13,'All papers'!$E$5:$E$229,2019)</f>
        <v>0</v>
      </c>
      <c r="E13" s="29" t="n">
        <f aca="false">COUNTIFS('All papers'!$H$5:$H$229,$A13,'All papers'!$E$5:$E$229,2020)</f>
        <v>2</v>
      </c>
      <c r="F13" s="29" t="n">
        <f aca="false">COUNTIFS('All papers'!$H$5:$H$229,$A13,'All papers'!$E$5:$E$229,2021)</f>
        <v>1</v>
      </c>
      <c r="G13" s="29" t="n">
        <f aca="false">COUNTIFS('All papers'!$H$5:$H$229,$A13,'All papers'!$E$5:$E$229,2022)</f>
        <v>1</v>
      </c>
      <c r="H13" s="29" t="n">
        <f aca="false">COUNTIFS('All papers'!$H$5:$H$229,$A13,'All papers'!$E$5:$E$229,2023)</f>
        <v>8</v>
      </c>
      <c r="I13" s="29" t="n">
        <f aca="false">COUNTIFS('All papers'!$H$5:$H$229,$A13,'All papers'!$E$5:$E$229,2024)</f>
        <v>4</v>
      </c>
      <c r="J13" s="29" t="n">
        <f aca="false">COUNTIFS('All papers'!$H$5:$H$229,$A13,'All papers'!$E$5:$E$229,2025)</f>
        <v>0</v>
      </c>
      <c r="K13" s="29" t="n">
        <f aca="false">COUNTIFS('All papers'!$H$5:$H$229,$A13,'All papers'!$E$5:$E$229,2026)</f>
        <v>0</v>
      </c>
      <c r="L13" s="30" t="n">
        <f aca="false">SUM(B13:K13)</f>
        <v>18</v>
      </c>
    </row>
    <row r="14" customFormat="false" ht="15" hidden="false" customHeight="false" outlineLevel="0" collapsed="false">
      <c r="A14" s="36" t="s">
        <v>23</v>
      </c>
      <c r="B14" s="29" t="n">
        <f aca="false">COUNTIFS('All papers'!$H$5:$H$229,$A14,'All papers'!$E$5:$E$229,"&lt;2018")</f>
        <v>3</v>
      </c>
      <c r="C14" s="29" t="n">
        <f aca="false">COUNTIFS('All papers'!$H$5:$H$229,$A14,'All papers'!$E$5:$E$229,2018)</f>
        <v>0</v>
      </c>
      <c r="D14" s="29" t="n">
        <f aca="false">COUNTIFS('All papers'!$H$5:$H$229,$A14,'All papers'!$E$5:$E$229,2019)</f>
        <v>1</v>
      </c>
      <c r="E14" s="29" t="n">
        <f aca="false">COUNTIFS('All papers'!$H$5:$H$229,$A14,'All papers'!$E$5:$E$229,2020)</f>
        <v>1</v>
      </c>
      <c r="F14" s="29" t="n">
        <f aca="false">COUNTIFS('All papers'!$H$5:$H$229,$A14,'All papers'!$E$5:$E$229,2021)</f>
        <v>2</v>
      </c>
      <c r="G14" s="29" t="n">
        <f aca="false">COUNTIFS('All papers'!$H$5:$H$229,$A14,'All papers'!$E$5:$E$229,2022)</f>
        <v>2</v>
      </c>
      <c r="H14" s="29" t="n">
        <f aca="false">COUNTIFS('All papers'!$H$5:$H$229,$A14,'All papers'!$E$5:$E$229,2023)</f>
        <v>5</v>
      </c>
      <c r="I14" s="29" t="n">
        <f aca="false">COUNTIFS('All papers'!$H$5:$H$229,$A14,'All papers'!$E$5:$E$229,2024)</f>
        <v>4</v>
      </c>
      <c r="J14" s="29" t="n">
        <f aca="false">COUNTIFS('All papers'!$H$5:$H$229,$A14,'All papers'!$E$5:$E$229,2025)</f>
        <v>4</v>
      </c>
      <c r="K14" s="29" t="n">
        <f aca="false">COUNTIFS('All papers'!$H$5:$H$229,$A14,'All papers'!$E$5:$E$229,2026)</f>
        <v>3</v>
      </c>
      <c r="L14" s="30" t="n">
        <f aca="false">SUM(B14:K14)</f>
        <v>25</v>
      </c>
    </row>
    <row r="15" customFormat="false" ht="15" hidden="false" customHeight="false" outlineLevel="0" collapsed="false">
      <c r="A15" s="37" t="s">
        <v>25</v>
      </c>
      <c r="B15" s="29" t="n">
        <f aca="false">COUNTIFS('All papers'!$H$5:$H$229,$A15,'All papers'!$E$5:$E$229,"&lt;2018")</f>
        <v>3</v>
      </c>
      <c r="C15" s="29" t="n">
        <f aca="false">COUNTIFS('All papers'!$H$5:$H$229,$A15,'All papers'!$E$5:$E$229,2018)</f>
        <v>1</v>
      </c>
      <c r="D15" s="29" t="n">
        <f aca="false">COUNTIFS('All papers'!$H$5:$H$229,$A15,'All papers'!$E$5:$E$229,2019)</f>
        <v>2</v>
      </c>
      <c r="E15" s="29" t="n">
        <f aca="false">COUNTIFS('All papers'!$H$5:$H$229,$A15,'All papers'!$E$5:$E$229,2020)</f>
        <v>3</v>
      </c>
      <c r="F15" s="29" t="n">
        <f aca="false">COUNTIFS('All papers'!$H$5:$H$229,$A15,'All papers'!$E$5:$E$229,2021)</f>
        <v>4</v>
      </c>
      <c r="G15" s="29" t="n">
        <f aca="false">COUNTIFS('All papers'!$H$5:$H$229,$A15,'All papers'!$E$5:$E$229,2022)</f>
        <v>0</v>
      </c>
      <c r="H15" s="29" t="n">
        <f aca="false">COUNTIFS('All papers'!$H$5:$H$229,$A15,'All papers'!$E$5:$E$229,2023)</f>
        <v>3</v>
      </c>
      <c r="I15" s="29" t="n">
        <f aca="false">COUNTIFS('All papers'!$H$5:$H$229,$A15,'All papers'!$E$5:$E$229,2024)</f>
        <v>1</v>
      </c>
      <c r="J15" s="29" t="n">
        <f aca="false">COUNTIFS('All papers'!$H$5:$H$229,$A15,'All papers'!$E$5:$E$229,2025)</f>
        <v>2</v>
      </c>
      <c r="K15" s="29" t="n">
        <f aca="false">COUNTIFS('All papers'!$H$5:$H$229,$A15,'All papers'!$E$5:$E$229,2026)</f>
        <v>4</v>
      </c>
      <c r="L15" s="30" t="n">
        <f aca="false">SUM(B15:K15)</f>
        <v>23</v>
      </c>
    </row>
    <row r="16" customFormat="false" ht="15" hidden="false" customHeight="false" outlineLevel="0" collapsed="false">
      <c r="A16" s="30" t="s">
        <v>2691</v>
      </c>
      <c r="B16" s="38" t="n">
        <f aca="false">SUM(B5:B15)</f>
        <v>39</v>
      </c>
      <c r="C16" s="38" t="n">
        <f aca="false">SUM(C5:C15)</f>
        <v>13</v>
      </c>
      <c r="D16" s="38" t="n">
        <f aca="false">SUM(D5:D15)</f>
        <v>12</v>
      </c>
      <c r="E16" s="38" t="n">
        <f aca="false">SUM(E5:E15)</f>
        <v>19</v>
      </c>
      <c r="F16" s="38" t="n">
        <f aca="false">SUM(F5:F15)</f>
        <v>27</v>
      </c>
      <c r="G16" s="38" t="n">
        <f aca="false">SUM(G5:G15)</f>
        <v>24</v>
      </c>
      <c r="H16" s="38" t="n">
        <f aca="false">SUM(H5:H15)</f>
        <v>41</v>
      </c>
      <c r="I16" s="38" t="n">
        <f aca="false">SUM(I5:I15)</f>
        <v>25</v>
      </c>
      <c r="J16" s="38" t="n">
        <f aca="false">SUM(J5:J15)</f>
        <v>17</v>
      </c>
      <c r="K16" s="38" t="n">
        <f aca="false">SUM(K5:K15)</f>
        <v>8</v>
      </c>
      <c r="L16" s="38" t="n">
        <f aca="false">SUM(L5:L15)</f>
        <v>225</v>
      </c>
    </row>
    <row r="19" customFormat="false" ht="15" hidden="false" customHeight="false" outlineLevel="0" collapsed="false">
      <c r="A19" s="3" t="s">
        <v>2692</v>
      </c>
    </row>
    <row r="20" customFormat="false" ht="15" hidden="false" customHeight="false" outlineLevel="0" collapsed="false">
      <c r="A20" s="39" t="s">
        <v>2693</v>
      </c>
      <c r="B20" s="39" t="n">
        <f aca="false">COUNTIF('All papers'!$R$5:$R$229,"Yes")</f>
        <v>77</v>
      </c>
    </row>
    <row r="21" customFormat="false" ht="15" hidden="false" customHeight="false" outlineLevel="0" collapsed="false">
      <c r="A21" s="39" t="s">
        <v>2694</v>
      </c>
      <c r="B21" s="39" t="n">
        <f aca="false">COUNTIF('All papers'!$E$5:$E$229,"&gt;=2018")</f>
        <v>186</v>
      </c>
    </row>
    <row r="22" customFormat="false" ht="15" hidden="false" customHeight="false" outlineLevel="0" collapsed="false">
      <c r="A22" s="39" t="s">
        <v>2695</v>
      </c>
      <c r="B22" s="39" t="n">
        <f aca="false">COUNTIF('All papers'!$G$5:$G$229,"Preprint")</f>
        <v>24</v>
      </c>
    </row>
    <row r="23" customFormat="false" ht="15" hidden="false" customHeight="false" outlineLevel="0" collapsed="false">
      <c r="A23" s="39" t="s">
        <v>2696</v>
      </c>
      <c r="B23" s="39" t="n">
        <f aca="false">COUNTIF('All papers'!$G$5:$G$229,"Other")</f>
        <v>14</v>
      </c>
    </row>
    <row r="24" customFormat="false" ht="15" hidden="false" customHeight="false" outlineLevel="0" collapsed="false">
      <c r="A24" s="39" t="s">
        <v>2697</v>
      </c>
      <c r="B24" s="39" t="n">
        <f aca="false">COUNTA('All papers'!$H$5:$H$229)</f>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2681</v>
      </c>
    </row>
    <row r="2" customFormat="false" ht="15" hidden="false" customHeight="false" outlineLevel="0" collapsed="false">
      <c r="A2" s="14" t="s">
        <v>2698</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2220</v>
      </c>
      <c r="C5" s="17" t="s">
        <v>2221</v>
      </c>
      <c r="D5" s="17" t="s">
        <v>2222</v>
      </c>
      <c r="E5" s="16" t="n">
        <v>2017</v>
      </c>
      <c r="F5" s="17" t="s">
        <v>661</v>
      </c>
      <c r="G5" s="16" t="s">
        <v>199</v>
      </c>
      <c r="H5" s="21" t="s">
        <v>11</v>
      </c>
      <c r="I5" s="17" t="s">
        <v>125</v>
      </c>
      <c r="J5" s="17" t="s">
        <v>2223</v>
      </c>
      <c r="K5" s="17" t="s">
        <v>2224</v>
      </c>
      <c r="L5" s="17" t="s">
        <v>2225</v>
      </c>
      <c r="M5" s="17" t="s">
        <v>2226</v>
      </c>
      <c r="N5" s="17" t="s">
        <v>2227</v>
      </c>
      <c r="O5" s="17" t="s">
        <v>2228</v>
      </c>
      <c r="P5" s="17" t="s">
        <v>2229</v>
      </c>
      <c r="Q5" s="17" t="s">
        <v>2230</v>
      </c>
      <c r="R5" s="16" t="s">
        <v>65</v>
      </c>
      <c r="S5" s="16"/>
      <c r="T5" s="19" t="s">
        <v>2231</v>
      </c>
      <c r="U5" s="19" t="s">
        <v>67</v>
      </c>
    </row>
    <row r="6" customFormat="false" ht="96" hidden="false" customHeight="true" outlineLevel="0" collapsed="false">
      <c r="A6" s="16" t="n">
        <v>2</v>
      </c>
      <c r="B6" s="16" t="s">
        <v>2232</v>
      </c>
      <c r="C6" s="17" t="s">
        <v>2233</v>
      </c>
      <c r="D6" s="17" t="s">
        <v>2234</v>
      </c>
      <c r="E6" s="16" t="n">
        <v>2017</v>
      </c>
      <c r="F6" s="17" t="s">
        <v>237</v>
      </c>
      <c r="G6" s="16" t="s">
        <v>199</v>
      </c>
      <c r="H6" s="22" t="s">
        <v>9</v>
      </c>
      <c r="I6" s="17" t="s">
        <v>223</v>
      </c>
      <c r="J6" s="17" t="s">
        <v>2235</v>
      </c>
      <c r="K6" s="17" t="s">
        <v>2236</v>
      </c>
      <c r="L6" s="17" t="s">
        <v>2237</v>
      </c>
      <c r="M6" s="17" t="s">
        <v>2238</v>
      </c>
      <c r="N6" s="17" t="s">
        <v>2239</v>
      </c>
      <c r="O6" s="17" t="s">
        <v>2240</v>
      </c>
      <c r="P6" s="17" t="s">
        <v>2241</v>
      </c>
      <c r="Q6" s="17" t="s">
        <v>2242</v>
      </c>
      <c r="R6" s="16" t="s">
        <v>65</v>
      </c>
      <c r="S6" s="16"/>
      <c r="T6" s="19" t="s">
        <v>2243</v>
      </c>
      <c r="U6" s="19" t="s">
        <v>67</v>
      </c>
    </row>
    <row r="7" customFormat="false" ht="96" hidden="false" customHeight="true" outlineLevel="0" collapsed="false">
      <c r="A7" s="16" t="n">
        <v>3</v>
      </c>
      <c r="B7" s="16" t="s">
        <v>2244</v>
      </c>
      <c r="C7" s="17" t="s">
        <v>2245</v>
      </c>
      <c r="D7" s="17" t="s">
        <v>2246</v>
      </c>
      <c r="E7" s="16" t="n">
        <v>2017</v>
      </c>
      <c r="F7" s="17" t="s">
        <v>557</v>
      </c>
      <c r="G7" s="16" t="s">
        <v>446</v>
      </c>
      <c r="H7" s="23" t="s">
        <v>21</v>
      </c>
      <c r="I7" s="17" t="s">
        <v>328</v>
      </c>
      <c r="J7" s="17" t="s">
        <v>2247</v>
      </c>
      <c r="K7" s="17" t="s">
        <v>2248</v>
      </c>
      <c r="L7" s="17" t="s">
        <v>2249</v>
      </c>
      <c r="M7" s="17" t="s">
        <v>2250</v>
      </c>
      <c r="N7" s="17" t="s">
        <v>2251</v>
      </c>
      <c r="O7" s="17" t="s">
        <v>76</v>
      </c>
      <c r="P7" s="17" t="s">
        <v>2252</v>
      </c>
      <c r="Q7" s="17" t="s">
        <v>2253</v>
      </c>
      <c r="R7" s="16" t="s">
        <v>65</v>
      </c>
      <c r="S7" s="16"/>
      <c r="T7" s="19" t="s">
        <v>2254</v>
      </c>
      <c r="U7" s="19" t="s">
        <v>67</v>
      </c>
    </row>
    <row r="8" customFormat="false" ht="96" hidden="false" customHeight="true" outlineLevel="0" collapsed="false">
      <c r="A8" s="16" t="n">
        <v>4</v>
      </c>
      <c r="B8" s="16" t="s">
        <v>2255</v>
      </c>
      <c r="C8" s="17" t="s">
        <v>2256</v>
      </c>
      <c r="D8" s="17" t="s">
        <v>2257</v>
      </c>
      <c r="E8" s="16" t="n">
        <v>2017</v>
      </c>
      <c r="F8" s="17" t="s">
        <v>388</v>
      </c>
      <c r="G8" s="16" t="s">
        <v>148</v>
      </c>
      <c r="H8" s="25" t="s">
        <v>5</v>
      </c>
      <c r="I8" s="17" t="s">
        <v>811</v>
      </c>
      <c r="J8" s="17" t="s">
        <v>2258</v>
      </c>
      <c r="K8" s="17" t="s">
        <v>2259</v>
      </c>
      <c r="L8" s="17" t="s">
        <v>2260</v>
      </c>
      <c r="M8" s="17" t="s">
        <v>2261</v>
      </c>
      <c r="N8" s="17" t="s">
        <v>2262</v>
      </c>
      <c r="O8" s="17" t="s">
        <v>2263</v>
      </c>
      <c r="P8" s="17" t="s">
        <v>2264</v>
      </c>
      <c r="Q8" s="17" t="s">
        <v>2265</v>
      </c>
      <c r="R8" s="16" t="s">
        <v>65</v>
      </c>
      <c r="S8" s="16"/>
      <c r="T8" s="19" t="s">
        <v>2266</v>
      </c>
      <c r="U8" s="19" t="s">
        <v>67</v>
      </c>
    </row>
    <row r="9" customFormat="false" ht="96" hidden="false" customHeight="true" outlineLevel="0" collapsed="false">
      <c r="A9" s="16" t="n">
        <v>5</v>
      </c>
      <c r="B9" s="16" t="s">
        <v>2267</v>
      </c>
      <c r="C9" s="17" t="s">
        <v>2268</v>
      </c>
      <c r="D9" s="17" t="s">
        <v>2269</v>
      </c>
      <c r="E9" s="16" t="n">
        <v>2017</v>
      </c>
      <c r="F9" s="17" t="s">
        <v>1277</v>
      </c>
      <c r="G9" s="16" t="s">
        <v>1164</v>
      </c>
      <c r="H9" s="26" t="s">
        <v>17</v>
      </c>
      <c r="I9" s="17" t="s">
        <v>17</v>
      </c>
      <c r="J9" s="17" t="s">
        <v>2270</v>
      </c>
      <c r="K9" s="17" t="s">
        <v>2271</v>
      </c>
      <c r="L9" s="17" t="s">
        <v>2272</v>
      </c>
      <c r="M9" s="17" t="s">
        <v>2273</v>
      </c>
      <c r="N9" s="17" t="s">
        <v>2274</v>
      </c>
      <c r="O9" s="17" t="s">
        <v>2007</v>
      </c>
      <c r="P9" s="17" t="s">
        <v>2275</v>
      </c>
      <c r="Q9" s="17" t="s">
        <v>2276</v>
      </c>
      <c r="R9" s="16" t="s">
        <v>65</v>
      </c>
      <c r="S9" s="16"/>
      <c r="T9" s="19" t="s">
        <v>2277</v>
      </c>
      <c r="U9" s="19" t="s">
        <v>67</v>
      </c>
    </row>
    <row r="10" customFormat="false" ht="96" hidden="false" customHeight="true" outlineLevel="0" collapsed="false">
      <c r="A10" s="16" t="n">
        <v>6</v>
      </c>
      <c r="B10" s="16" t="s">
        <v>2278</v>
      </c>
      <c r="C10" s="17" t="s">
        <v>2279</v>
      </c>
      <c r="D10" s="17" t="s">
        <v>1930</v>
      </c>
      <c r="E10" s="16" t="n">
        <v>2016</v>
      </c>
      <c r="F10" s="17" t="s">
        <v>2280</v>
      </c>
      <c r="G10" s="16" t="s">
        <v>446</v>
      </c>
      <c r="H10" s="21" t="s">
        <v>11</v>
      </c>
      <c r="I10" s="17" t="s">
        <v>125</v>
      </c>
      <c r="J10" s="17" t="s">
        <v>2281</v>
      </c>
      <c r="K10" s="17" t="s">
        <v>2282</v>
      </c>
      <c r="L10" s="17" t="s">
        <v>2283</v>
      </c>
      <c r="M10" s="17" t="s">
        <v>2284</v>
      </c>
      <c r="N10" s="17" t="s">
        <v>2285</v>
      </c>
      <c r="O10" s="17" t="s">
        <v>2286</v>
      </c>
      <c r="P10" s="17" t="s">
        <v>2287</v>
      </c>
      <c r="Q10" s="17" t="s">
        <v>2288</v>
      </c>
      <c r="R10" s="16" t="s">
        <v>65</v>
      </c>
      <c r="S10" s="16"/>
      <c r="T10" s="19" t="s">
        <v>2289</v>
      </c>
      <c r="U10" s="19" t="s">
        <v>67</v>
      </c>
    </row>
    <row r="11" customFormat="false" ht="96" hidden="false" customHeight="true" outlineLevel="0" collapsed="false">
      <c r="A11" s="16" t="n">
        <v>7</v>
      </c>
      <c r="B11" s="16" t="s">
        <v>2290</v>
      </c>
      <c r="C11" s="17" t="s">
        <v>2291</v>
      </c>
      <c r="D11" s="17" t="s">
        <v>2292</v>
      </c>
      <c r="E11" s="16" t="n">
        <v>2016</v>
      </c>
      <c r="F11" s="17" t="s">
        <v>2293</v>
      </c>
      <c r="G11" s="16" t="s">
        <v>84</v>
      </c>
      <c r="H11" s="20" t="s">
        <v>25</v>
      </c>
      <c r="I11" s="17" t="s">
        <v>72</v>
      </c>
      <c r="J11" s="17" t="s">
        <v>713</v>
      </c>
      <c r="K11" s="17" t="s">
        <v>73</v>
      </c>
      <c r="L11" s="17" t="s">
        <v>2294</v>
      </c>
      <c r="M11" s="17" t="s">
        <v>2295</v>
      </c>
      <c r="N11" s="17" t="s">
        <v>2296</v>
      </c>
      <c r="O11" s="17" t="s">
        <v>2297</v>
      </c>
      <c r="P11" s="17" t="s">
        <v>2298</v>
      </c>
      <c r="Q11" s="17" t="s">
        <v>2299</v>
      </c>
      <c r="R11" s="16" t="s">
        <v>65</v>
      </c>
      <c r="S11" s="16"/>
      <c r="T11" s="19" t="s">
        <v>2300</v>
      </c>
      <c r="U11" s="19" t="s">
        <v>67</v>
      </c>
    </row>
    <row r="12" customFormat="false" ht="96" hidden="false" customHeight="true" outlineLevel="0" collapsed="false">
      <c r="A12" s="16" t="n">
        <v>8</v>
      </c>
      <c r="B12" s="16" t="s">
        <v>2301</v>
      </c>
      <c r="C12" s="17" t="s">
        <v>2302</v>
      </c>
      <c r="D12" s="17" t="s">
        <v>2303</v>
      </c>
      <c r="E12" s="16" t="n">
        <v>2016</v>
      </c>
      <c r="F12" s="17" t="s">
        <v>2280</v>
      </c>
      <c r="G12" s="16" t="s">
        <v>446</v>
      </c>
      <c r="H12" s="25" t="s">
        <v>7</v>
      </c>
      <c r="I12" s="17" t="s">
        <v>811</v>
      </c>
      <c r="J12" s="17" t="s">
        <v>2304</v>
      </c>
      <c r="K12" s="17" t="s">
        <v>2305</v>
      </c>
      <c r="L12" s="17" t="s">
        <v>2306</v>
      </c>
      <c r="M12" s="17" t="s">
        <v>2307</v>
      </c>
      <c r="N12" s="17" t="s">
        <v>2308</v>
      </c>
      <c r="O12" s="17" t="s">
        <v>2309</v>
      </c>
      <c r="P12" s="17" t="s">
        <v>2310</v>
      </c>
      <c r="Q12" s="17" t="s">
        <v>2311</v>
      </c>
      <c r="R12" s="16" t="s">
        <v>103</v>
      </c>
      <c r="S12" s="19" t="s">
        <v>2312</v>
      </c>
      <c r="T12" s="19" t="s">
        <v>2313</v>
      </c>
      <c r="U12" s="19" t="s">
        <v>67</v>
      </c>
    </row>
    <row r="13" customFormat="false" ht="96" hidden="false" customHeight="true" outlineLevel="0" collapsed="false">
      <c r="A13" s="16" t="n">
        <v>9</v>
      </c>
      <c r="B13" s="16" t="s">
        <v>2314</v>
      </c>
      <c r="C13" s="17" t="s">
        <v>2315</v>
      </c>
      <c r="D13" s="17" t="s">
        <v>2316</v>
      </c>
      <c r="E13" s="16" t="n">
        <v>2016</v>
      </c>
      <c r="F13" s="17" t="s">
        <v>237</v>
      </c>
      <c r="G13" s="16" t="s">
        <v>199</v>
      </c>
      <c r="H13" s="24" t="s">
        <v>15</v>
      </c>
      <c r="I13" s="17" t="s">
        <v>592</v>
      </c>
      <c r="J13" s="17" t="s">
        <v>2317</v>
      </c>
      <c r="K13" s="17" t="s">
        <v>2318</v>
      </c>
      <c r="L13" s="17" t="s">
        <v>2319</v>
      </c>
      <c r="M13" s="17" t="s">
        <v>2320</v>
      </c>
      <c r="N13" s="17" t="s">
        <v>2321</v>
      </c>
      <c r="O13" s="17" t="s">
        <v>1282</v>
      </c>
      <c r="P13" s="17" t="s">
        <v>2322</v>
      </c>
      <c r="Q13" s="17" t="s">
        <v>2323</v>
      </c>
      <c r="R13" s="16" t="s">
        <v>65</v>
      </c>
      <c r="S13" s="16"/>
      <c r="T13" s="19" t="s">
        <v>2324</v>
      </c>
      <c r="U13" s="19" t="s">
        <v>67</v>
      </c>
    </row>
    <row r="14" customFormat="false" ht="96" hidden="false" customHeight="true" outlineLevel="0" collapsed="false">
      <c r="A14" s="16" t="n">
        <v>10</v>
      </c>
      <c r="B14" s="16" t="s">
        <v>2325</v>
      </c>
      <c r="C14" s="17" t="s">
        <v>2326</v>
      </c>
      <c r="D14" s="17" t="s">
        <v>2327</v>
      </c>
      <c r="E14" s="16" t="n">
        <v>2016</v>
      </c>
      <c r="F14" s="17" t="s">
        <v>71</v>
      </c>
      <c r="G14" s="16" t="s">
        <v>56</v>
      </c>
      <c r="H14" s="18" t="s">
        <v>23</v>
      </c>
      <c r="I14" s="17" t="s">
        <v>23</v>
      </c>
      <c r="J14" s="17" t="s">
        <v>2328</v>
      </c>
      <c r="K14" s="17" t="s">
        <v>2329</v>
      </c>
      <c r="L14" s="17" t="s">
        <v>2330</v>
      </c>
      <c r="M14" s="17" t="s">
        <v>2331</v>
      </c>
      <c r="N14" s="17" t="s">
        <v>2332</v>
      </c>
      <c r="O14" s="17" t="s">
        <v>76</v>
      </c>
      <c r="P14" s="17" t="s">
        <v>2333</v>
      </c>
      <c r="Q14" s="17" t="s">
        <v>2334</v>
      </c>
      <c r="R14" s="16" t="s">
        <v>65</v>
      </c>
      <c r="S14" s="16"/>
      <c r="T14" s="19" t="s">
        <v>2335</v>
      </c>
      <c r="U14" s="19" t="s">
        <v>67</v>
      </c>
    </row>
    <row r="15" customFormat="false" ht="96" hidden="false" customHeight="true" outlineLevel="0" collapsed="false">
      <c r="A15" s="16" t="n">
        <v>11</v>
      </c>
      <c r="B15" s="16" t="s">
        <v>2336</v>
      </c>
      <c r="C15" s="17" t="s">
        <v>2337</v>
      </c>
      <c r="D15" s="17" t="s">
        <v>2338</v>
      </c>
      <c r="E15" s="16" t="n">
        <v>2016</v>
      </c>
      <c r="F15" s="17" t="s">
        <v>350</v>
      </c>
      <c r="G15" s="16" t="s">
        <v>199</v>
      </c>
      <c r="H15" s="18" t="s">
        <v>23</v>
      </c>
      <c r="I15" s="17" t="s">
        <v>23</v>
      </c>
      <c r="J15" s="17" t="s">
        <v>2223</v>
      </c>
      <c r="K15" s="17" t="s">
        <v>2339</v>
      </c>
      <c r="L15" s="17" t="s">
        <v>2340</v>
      </c>
      <c r="M15" s="17" t="s">
        <v>2341</v>
      </c>
      <c r="N15" s="17" t="s">
        <v>2342</v>
      </c>
      <c r="O15" s="17" t="s">
        <v>76</v>
      </c>
      <c r="P15" s="17" t="s">
        <v>2343</v>
      </c>
      <c r="Q15" s="17" t="s">
        <v>2344</v>
      </c>
      <c r="R15" s="16" t="s">
        <v>65</v>
      </c>
      <c r="S15" s="16"/>
      <c r="T15" s="19" t="s">
        <v>2345</v>
      </c>
      <c r="U15" s="19" t="s">
        <v>67</v>
      </c>
    </row>
    <row r="16" customFormat="false" ht="96" hidden="false" customHeight="true" outlineLevel="0" collapsed="false">
      <c r="A16" s="16" t="n">
        <v>12</v>
      </c>
      <c r="B16" s="16" t="s">
        <v>2346</v>
      </c>
      <c r="C16" s="17" t="s">
        <v>2347</v>
      </c>
      <c r="D16" s="17" t="s">
        <v>2348</v>
      </c>
      <c r="E16" s="16" t="n">
        <v>2016</v>
      </c>
      <c r="F16" s="17" t="s">
        <v>71</v>
      </c>
      <c r="G16" s="16" t="s">
        <v>56</v>
      </c>
      <c r="H16" s="18" t="s">
        <v>23</v>
      </c>
      <c r="I16" s="17" t="s">
        <v>23</v>
      </c>
      <c r="J16" s="17" t="s">
        <v>2349</v>
      </c>
      <c r="K16" s="17" t="s">
        <v>2350</v>
      </c>
      <c r="L16" s="17" t="s">
        <v>2351</v>
      </c>
      <c r="M16" s="17" t="s">
        <v>2352</v>
      </c>
      <c r="N16" s="17" t="s">
        <v>2353</v>
      </c>
      <c r="O16" s="17" t="s">
        <v>76</v>
      </c>
      <c r="P16" s="17" t="s">
        <v>2354</v>
      </c>
      <c r="Q16" s="17" t="s">
        <v>2355</v>
      </c>
      <c r="R16" s="16" t="s">
        <v>65</v>
      </c>
      <c r="S16" s="16"/>
      <c r="T16" s="19" t="s">
        <v>2356</v>
      </c>
      <c r="U16" s="19" t="s">
        <v>67</v>
      </c>
    </row>
    <row r="17" customFormat="false" ht="96" hidden="false" customHeight="true" outlineLevel="0" collapsed="false">
      <c r="A17" s="16" t="n">
        <v>13</v>
      </c>
      <c r="B17" s="16" t="s">
        <v>2357</v>
      </c>
      <c r="C17" s="17" t="s">
        <v>2358</v>
      </c>
      <c r="D17" s="17" t="s">
        <v>2359</v>
      </c>
      <c r="E17" s="16" t="n">
        <v>2016</v>
      </c>
      <c r="F17" s="17" t="s">
        <v>350</v>
      </c>
      <c r="G17" s="16" t="s">
        <v>199</v>
      </c>
      <c r="H17" s="23" t="s">
        <v>19</v>
      </c>
      <c r="I17" s="17" t="s">
        <v>328</v>
      </c>
      <c r="J17" s="17" t="s">
        <v>2360</v>
      </c>
      <c r="K17" s="17" t="s">
        <v>2361</v>
      </c>
      <c r="L17" s="17" t="s">
        <v>2362</v>
      </c>
      <c r="M17" s="17" t="s">
        <v>2363</v>
      </c>
      <c r="N17" s="17" t="s">
        <v>2364</v>
      </c>
      <c r="O17" s="17" t="s">
        <v>76</v>
      </c>
      <c r="P17" s="17" t="s">
        <v>2365</v>
      </c>
      <c r="Q17" s="17" t="s">
        <v>2366</v>
      </c>
      <c r="R17" s="16" t="s">
        <v>65</v>
      </c>
      <c r="S17" s="16"/>
      <c r="T17" s="19" t="s">
        <v>2367</v>
      </c>
      <c r="U17" s="19" t="s">
        <v>67</v>
      </c>
    </row>
    <row r="18" customFormat="false" ht="96" hidden="false" customHeight="true" outlineLevel="0" collapsed="false">
      <c r="A18" s="16" t="n">
        <v>14</v>
      </c>
      <c r="B18" s="16" t="s">
        <v>2368</v>
      </c>
      <c r="C18" s="17" t="s">
        <v>2369</v>
      </c>
      <c r="D18" s="17" t="s">
        <v>2370</v>
      </c>
      <c r="E18" s="16" t="n">
        <v>2016</v>
      </c>
      <c r="F18" s="17" t="s">
        <v>2371</v>
      </c>
      <c r="G18" s="16" t="s">
        <v>162</v>
      </c>
      <c r="H18" s="20" t="s">
        <v>25</v>
      </c>
      <c r="I18" s="17" t="s">
        <v>72</v>
      </c>
      <c r="J18" s="17" t="s">
        <v>2372</v>
      </c>
      <c r="K18" s="17" t="s">
        <v>1109</v>
      </c>
      <c r="L18" s="17" t="s">
        <v>2373</v>
      </c>
      <c r="M18" s="17" t="s">
        <v>2374</v>
      </c>
      <c r="N18" s="17" t="s">
        <v>2375</v>
      </c>
      <c r="O18" s="17" t="s">
        <v>76</v>
      </c>
      <c r="P18" s="17" t="s">
        <v>2376</v>
      </c>
      <c r="Q18" s="17" t="s">
        <v>2377</v>
      </c>
      <c r="R18" s="16" t="s">
        <v>65</v>
      </c>
      <c r="S18" s="16"/>
      <c r="T18" s="19" t="s">
        <v>2378</v>
      </c>
      <c r="U18" s="19" t="s">
        <v>67</v>
      </c>
    </row>
    <row r="19" customFormat="false" ht="96" hidden="false" customHeight="true" outlineLevel="0" collapsed="false">
      <c r="A19" s="16" t="n">
        <v>15</v>
      </c>
      <c r="B19" s="16" t="s">
        <v>2379</v>
      </c>
      <c r="C19" s="17" t="s">
        <v>2380</v>
      </c>
      <c r="D19" s="17" t="s">
        <v>2381</v>
      </c>
      <c r="E19" s="16" t="n">
        <v>2015</v>
      </c>
      <c r="F19" s="17" t="s">
        <v>2382</v>
      </c>
      <c r="G19" s="16" t="s">
        <v>84</v>
      </c>
      <c r="H19" s="24" t="s">
        <v>15</v>
      </c>
      <c r="I19" s="17" t="s">
        <v>592</v>
      </c>
      <c r="J19" s="17" t="s">
        <v>713</v>
      </c>
      <c r="K19" s="17" t="s">
        <v>73</v>
      </c>
      <c r="L19" s="17" t="s">
        <v>2383</v>
      </c>
      <c r="M19" s="17" t="s">
        <v>2384</v>
      </c>
      <c r="N19" s="17" t="s">
        <v>2385</v>
      </c>
      <c r="O19" s="17" t="s">
        <v>2386</v>
      </c>
      <c r="P19" s="17" t="s">
        <v>2387</v>
      </c>
      <c r="Q19" s="17" t="s">
        <v>2388</v>
      </c>
      <c r="R19" s="16" t="s">
        <v>65</v>
      </c>
      <c r="S19" s="16"/>
      <c r="T19" s="19" t="s">
        <v>2389</v>
      </c>
      <c r="U19" s="19" t="s">
        <v>67</v>
      </c>
    </row>
    <row r="20" customFormat="false" ht="96" hidden="false" customHeight="true" outlineLevel="0" collapsed="false">
      <c r="A20" s="16" t="n">
        <v>16</v>
      </c>
      <c r="B20" s="16" t="s">
        <v>2390</v>
      </c>
      <c r="C20" s="17" t="s">
        <v>2391</v>
      </c>
      <c r="D20" s="17" t="s">
        <v>2392</v>
      </c>
      <c r="E20" s="16" t="n">
        <v>2015</v>
      </c>
      <c r="F20" s="17" t="s">
        <v>2280</v>
      </c>
      <c r="G20" s="16" t="s">
        <v>446</v>
      </c>
      <c r="H20" s="25" t="s">
        <v>5</v>
      </c>
      <c r="I20" s="17" t="s">
        <v>811</v>
      </c>
      <c r="J20" s="17" t="s">
        <v>2393</v>
      </c>
      <c r="K20" s="17" t="s">
        <v>2394</v>
      </c>
      <c r="L20" s="17" t="s">
        <v>2395</v>
      </c>
      <c r="M20" s="17" t="s">
        <v>2396</v>
      </c>
      <c r="N20" s="17" t="s">
        <v>2397</v>
      </c>
      <c r="O20" s="17" t="s">
        <v>2398</v>
      </c>
      <c r="P20" s="17" t="s">
        <v>2399</v>
      </c>
      <c r="Q20" s="17" t="s">
        <v>2400</v>
      </c>
      <c r="R20" s="16" t="s">
        <v>65</v>
      </c>
      <c r="S20" s="16"/>
      <c r="T20" s="19" t="s">
        <v>2401</v>
      </c>
      <c r="U20" s="19" t="s">
        <v>67</v>
      </c>
    </row>
    <row r="21" customFormat="false" ht="96" hidden="false" customHeight="true" outlineLevel="0" collapsed="false">
      <c r="A21" s="16" t="n">
        <v>17</v>
      </c>
      <c r="B21" s="16" t="s">
        <v>2402</v>
      </c>
      <c r="C21" s="17" t="s">
        <v>2403</v>
      </c>
      <c r="D21" s="17" t="s">
        <v>2404</v>
      </c>
      <c r="E21" s="16" t="n">
        <v>2015</v>
      </c>
      <c r="F21" s="17" t="s">
        <v>209</v>
      </c>
      <c r="G21" s="16" t="s">
        <v>199</v>
      </c>
      <c r="H21" s="25" t="s">
        <v>5</v>
      </c>
      <c r="I21" s="17" t="s">
        <v>811</v>
      </c>
      <c r="J21" s="17" t="s">
        <v>2405</v>
      </c>
      <c r="K21" s="17" t="s">
        <v>2406</v>
      </c>
      <c r="L21" s="17" t="s">
        <v>2407</v>
      </c>
      <c r="M21" s="17" t="s">
        <v>2408</v>
      </c>
      <c r="N21" s="17" t="s">
        <v>2409</v>
      </c>
      <c r="O21" s="17" t="s">
        <v>2410</v>
      </c>
      <c r="P21" s="17" t="s">
        <v>2411</v>
      </c>
      <c r="Q21" s="17" t="s">
        <v>2412</v>
      </c>
      <c r="R21" s="16" t="s">
        <v>65</v>
      </c>
      <c r="S21" s="16"/>
      <c r="T21" s="19" t="s">
        <v>2413</v>
      </c>
      <c r="U21" s="19" t="s">
        <v>67</v>
      </c>
    </row>
    <row r="22" customFormat="false" ht="96" hidden="false" customHeight="true" outlineLevel="0" collapsed="false">
      <c r="A22" s="16" t="n">
        <v>18</v>
      </c>
      <c r="B22" s="16" t="s">
        <v>2414</v>
      </c>
      <c r="C22" s="17" t="s">
        <v>2415</v>
      </c>
      <c r="D22" s="17" t="s">
        <v>2416</v>
      </c>
      <c r="E22" s="16" t="n">
        <v>2015</v>
      </c>
      <c r="F22" s="17" t="s">
        <v>2417</v>
      </c>
      <c r="G22" s="16" t="s">
        <v>162</v>
      </c>
      <c r="H22" s="21" t="s">
        <v>11</v>
      </c>
      <c r="I22" s="17" t="s">
        <v>125</v>
      </c>
      <c r="J22" s="17" t="s">
        <v>1109</v>
      </c>
      <c r="K22" s="17" t="s">
        <v>2418</v>
      </c>
      <c r="L22" s="17" t="s">
        <v>2419</v>
      </c>
      <c r="M22" s="17" t="s">
        <v>2420</v>
      </c>
      <c r="N22" s="17" t="s">
        <v>2421</v>
      </c>
      <c r="O22" s="17" t="s">
        <v>2422</v>
      </c>
      <c r="P22" s="17" t="s">
        <v>2423</v>
      </c>
      <c r="Q22" s="17" t="s">
        <v>2424</v>
      </c>
      <c r="R22" s="16" t="s">
        <v>65</v>
      </c>
      <c r="S22" s="16"/>
      <c r="T22" s="19" t="s">
        <v>2425</v>
      </c>
      <c r="U22" s="19" t="s">
        <v>67</v>
      </c>
    </row>
    <row r="23" customFormat="false" ht="96" hidden="false" customHeight="true" outlineLevel="0" collapsed="false">
      <c r="A23" s="16" t="n">
        <v>19</v>
      </c>
      <c r="B23" s="16" t="s">
        <v>2426</v>
      </c>
      <c r="C23" s="17" t="s">
        <v>2427</v>
      </c>
      <c r="D23" s="17" t="s">
        <v>2428</v>
      </c>
      <c r="E23" s="16" t="n">
        <v>2015</v>
      </c>
      <c r="F23" s="17" t="s">
        <v>557</v>
      </c>
      <c r="G23" s="16" t="s">
        <v>446</v>
      </c>
      <c r="H23" s="23" t="s">
        <v>21</v>
      </c>
      <c r="I23" s="17" t="s">
        <v>328</v>
      </c>
      <c r="J23" s="17" t="s">
        <v>2429</v>
      </c>
      <c r="K23" s="17" t="s">
        <v>2430</v>
      </c>
      <c r="L23" s="17" t="s">
        <v>2431</v>
      </c>
      <c r="M23" s="17" t="s">
        <v>2432</v>
      </c>
      <c r="N23" s="17" t="s">
        <v>2433</v>
      </c>
      <c r="O23" s="17" t="s">
        <v>2434</v>
      </c>
      <c r="P23" s="17" t="s">
        <v>2435</v>
      </c>
      <c r="Q23" s="17" t="s">
        <v>2436</v>
      </c>
      <c r="R23" s="16" t="s">
        <v>65</v>
      </c>
      <c r="S23" s="16"/>
      <c r="T23" s="19" t="s">
        <v>2437</v>
      </c>
      <c r="U23" s="19" t="s">
        <v>67</v>
      </c>
    </row>
    <row r="24" customFormat="false" ht="96" hidden="false" customHeight="true" outlineLevel="0" collapsed="false">
      <c r="A24" s="16" t="n">
        <v>20</v>
      </c>
      <c r="B24" s="16" t="s">
        <v>2438</v>
      </c>
      <c r="C24" s="17" t="s">
        <v>2439</v>
      </c>
      <c r="D24" s="17" t="s">
        <v>2440</v>
      </c>
      <c r="E24" s="16" t="n">
        <v>2015</v>
      </c>
      <c r="F24" s="17" t="s">
        <v>2441</v>
      </c>
      <c r="G24" s="16" t="s">
        <v>84</v>
      </c>
      <c r="H24" s="20" t="s">
        <v>25</v>
      </c>
      <c r="I24" s="17" t="s">
        <v>72</v>
      </c>
      <c r="J24" s="17" t="s">
        <v>713</v>
      </c>
      <c r="K24" s="17" t="s">
        <v>73</v>
      </c>
      <c r="L24" s="17" t="s">
        <v>2442</v>
      </c>
      <c r="M24" s="17" t="s">
        <v>2443</v>
      </c>
      <c r="N24" s="17" t="s">
        <v>2444</v>
      </c>
      <c r="O24" s="17" t="s">
        <v>2445</v>
      </c>
      <c r="P24" s="17" t="s">
        <v>2446</v>
      </c>
      <c r="Q24" s="17" t="s">
        <v>2447</v>
      </c>
      <c r="R24" s="16" t="s">
        <v>65</v>
      </c>
      <c r="S24" s="16"/>
      <c r="T24" s="19" t="s">
        <v>2448</v>
      </c>
      <c r="U24" s="19" t="s">
        <v>67</v>
      </c>
    </row>
    <row r="25" customFormat="false" ht="96" hidden="false" customHeight="true" outlineLevel="0" collapsed="false">
      <c r="A25" s="16" t="n">
        <v>21</v>
      </c>
      <c r="B25" s="16" t="s">
        <v>2449</v>
      </c>
      <c r="C25" s="17" t="s">
        <v>2450</v>
      </c>
      <c r="D25" s="17" t="s">
        <v>2451</v>
      </c>
      <c r="E25" s="16" t="n">
        <v>2013</v>
      </c>
      <c r="F25" s="17" t="s">
        <v>161</v>
      </c>
      <c r="G25" s="16" t="s">
        <v>162</v>
      </c>
      <c r="H25" s="25" t="s">
        <v>5</v>
      </c>
      <c r="I25" s="17" t="s">
        <v>811</v>
      </c>
      <c r="J25" s="17" t="s">
        <v>2452</v>
      </c>
      <c r="K25" s="17" t="s">
        <v>2453</v>
      </c>
      <c r="L25" s="17" t="s">
        <v>2454</v>
      </c>
      <c r="M25" s="17" t="s">
        <v>2455</v>
      </c>
      <c r="N25" s="17" t="s">
        <v>2456</v>
      </c>
      <c r="O25" s="17" t="s">
        <v>2457</v>
      </c>
      <c r="P25" s="17" t="s">
        <v>2458</v>
      </c>
      <c r="Q25" s="17" t="s">
        <v>2459</v>
      </c>
      <c r="R25" s="16" t="s">
        <v>65</v>
      </c>
      <c r="S25" s="16"/>
      <c r="T25" s="19" t="s">
        <v>2460</v>
      </c>
      <c r="U25" s="19" t="s">
        <v>67</v>
      </c>
    </row>
    <row r="26" customFormat="false" ht="96" hidden="false" customHeight="true" outlineLevel="0" collapsed="false">
      <c r="A26" s="16" t="n">
        <v>22</v>
      </c>
      <c r="B26" s="16" t="s">
        <v>2461</v>
      </c>
      <c r="C26" s="17" t="s">
        <v>2462</v>
      </c>
      <c r="D26" s="17" t="s">
        <v>2463</v>
      </c>
      <c r="E26" s="16" t="n">
        <v>2010</v>
      </c>
      <c r="F26" s="17" t="s">
        <v>2464</v>
      </c>
      <c r="G26" s="16" t="s">
        <v>162</v>
      </c>
      <c r="H26" s="21" t="s">
        <v>11</v>
      </c>
      <c r="I26" s="17" t="s">
        <v>125</v>
      </c>
      <c r="J26" s="17" t="s">
        <v>1109</v>
      </c>
      <c r="K26" s="17" t="s">
        <v>2465</v>
      </c>
      <c r="L26" s="17" t="s">
        <v>2466</v>
      </c>
      <c r="M26" s="17" t="s">
        <v>2467</v>
      </c>
      <c r="N26" s="17" t="s">
        <v>2468</v>
      </c>
      <c r="O26" s="17" t="s">
        <v>2469</v>
      </c>
      <c r="P26" s="17" t="s">
        <v>2470</v>
      </c>
      <c r="Q26" s="17" t="s">
        <v>2471</v>
      </c>
      <c r="R26" s="16" t="s">
        <v>65</v>
      </c>
      <c r="S26" s="16"/>
      <c r="T26" s="19" t="s">
        <v>2472</v>
      </c>
      <c r="U26" s="19" t="s">
        <v>67</v>
      </c>
    </row>
    <row r="27" customFormat="false" ht="96" hidden="false" customHeight="true" outlineLevel="0" collapsed="false">
      <c r="A27" s="16" t="n">
        <v>23</v>
      </c>
      <c r="B27" s="16" t="s">
        <v>2473</v>
      </c>
      <c r="C27" s="17" t="s">
        <v>2474</v>
      </c>
      <c r="D27" s="17" t="s">
        <v>2475</v>
      </c>
      <c r="E27" s="16" t="n">
        <v>2010</v>
      </c>
      <c r="F27" s="17" t="s">
        <v>557</v>
      </c>
      <c r="G27" s="16" t="s">
        <v>446</v>
      </c>
      <c r="H27" s="24" t="s">
        <v>15</v>
      </c>
      <c r="I27" s="17" t="s">
        <v>592</v>
      </c>
      <c r="J27" s="17" t="s">
        <v>2476</v>
      </c>
      <c r="K27" s="17" t="s">
        <v>2477</v>
      </c>
      <c r="L27" s="17" t="s">
        <v>2478</v>
      </c>
      <c r="M27" s="17" t="s">
        <v>2479</v>
      </c>
      <c r="N27" s="17" t="s">
        <v>2480</v>
      </c>
      <c r="O27" s="17" t="s">
        <v>2481</v>
      </c>
      <c r="P27" s="17" t="s">
        <v>2482</v>
      </c>
      <c r="Q27" s="17" t="s">
        <v>2483</v>
      </c>
      <c r="R27" s="16" t="s">
        <v>65</v>
      </c>
      <c r="S27" s="16"/>
      <c r="T27" s="19" t="s">
        <v>2484</v>
      </c>
      <c r="U27" s="19" t="s">
        <v>67</v>
      </c>
    </row>
    <row r="28" customFormat="false" ht="96" hidden="false" customHeight="true" outlineLevel="0" collapsed="false">
      <c r="A28" s="16" t="n">
        <v>24</v>
      </c>
      <c r="B28" s="16" t="s">
        <v>2485</v>
      </c>
      <c r="C28" s="17" t="s">
        <v>2486</v>
      </c>
      <c r="D28" s="17" t="s">
        <v>2487</v>
      </c>
      <c r="E28" s="16" t="n">
        <v>2009</v>
      </c>
      <c r="F28" s="17" t="s">
        <v>2488</v>
      </c>
      <c r="G28" s="16" t="s">
        <v>446</v>
      </c>
      <c r="H28" s="24" t="s">
        <v>15</v>
      </c>
      <c r="I28" s="17" t="s">
        <v>592</v>
      </c>
      <c r="J28" s="17" t="s">
        <v>2489</v>
      </c>
      <c r="K28" s="17" t="s">
        <v>2490</v>
      </c>
      <c r="L28" s="17" t="s">
        <v>2491</v>
      </c>
      <c r="M28" s="17" t="s">
        <v>2492</v>
      </c>
      <c r="N28" s="17" t="s">
        <v>2493</v>
      </c>
      <c r="O28" s="17" t="s">
        <v>2494</v>
      </c>
      <c r="P28" s="17" t="s">
        <v>2495</v>
      </c>
      <c r="Q28" s="17" t="s">
        <v>2496</v>
      </c>
      <c r="R28" s="16" t="s">
        <v>65</v>
      </c>
      <c r="S28" s="16"/>
      <c r="T28" s="19" t="s">
        <v>2497</v>
      </c>
      <c r="U28" s="19" t="s">
        <v>67</v>
      </c>
    </row>
    <row r="29" customFormat="false" ht="96" hidden="false" customHeight="true" outlineLevel="0" collapsed="false">
      <c r="A29" s="16" t="n">
        <v>25</v>
      </c>
      <c r="B29" s="16" t="s">
        <v>2498</v>
      </c>
      <c r="C29" s="17" t="s">
        <v>2499</v>
      </c>
      <c r="D29" s="17" t="s">
        <v>2500</v>
      </c>
      <c r="E29" s="16" t="n">
        <v>2009</v>
      </c>
      <c r="F29" s="17" t="s">
        <v>2501</v>
      </c>
      <c r="G29" s="16" t="s">
        <v>162</v>
      </c>
      <c r="H29" s="25" t="s">
        <v>5</v>
      </c>
      <c r="I29" s="17" t="s">
        <v>811</v>
      </c>
      <c r="J29" s="17" t="s">
        <v>2502</v>
      </c>
      <c r="K29" s="17" t="s">
        <v>2503</v>
      </c>
      <c r="L29" s="17" t="s">
        <v>2504</v>
      </c>
      <c r="M29" s="17" t="s">
        <v>2505</v>
      </c>
      <c r="N29" s="17" t="s">
        <v>2506</v>
      </c>
      <c r="O29" s="17" t="s">
        <v>2445</v>
      </c>
      <c r="P29" s="17" t="s">
        <v>2507</v>
      </c>
      <c r="Q29" s="17" t="s">
        <v>2508</v>
      </c>
      <c r="R29" s="16" t="s">
        <v>65</v>
      </c>
      <c r="S29" s="16"/>
      <c r="T29" s="19" t="s">
        <v>2509</v>
      </c>
      <c r="U29" s="19" t="s">
        <v>67</v>
      </c>
    </row>
    <row r="30" customFormat="false" ht="96" hidden="false" customHeight="true" outlineLevel="0" collapsed="false">
      <c r="A30" s="16" t="n">
        <v>26</v>
      </c>
      <c r="B30" s="16" t="s">
        <v>2510</v>
      </c>
      <c r="C30" s="17" t="s">
        <v>2511</v>
      </c>
      <c r="D30" s="17" t="s">
        <v>2512</v>
      </c>
      <c r="E30" s="16" t="n">
        <v>2009</v>
      </c>
      <c r="F30" s="17" t="s">
        <v>661</v>
      </c>
      <c r="G30" s="16" t="s">
        <v>199</v>
      </c>
      <c r="H30" s="25" t="s">
        <v>5</v>
      </c>
      <c r="I30" s="17" t="s">
        <v>811</v>
      </c>
      <c r="J30" s="17" t="s">
        <v>2513</v>
      </c>
      <c r="K30" s="17" t="s">
        <v>2514</v>
      </c>
      <c r="L30" s="17" t="s">
        <v>2515</v>
      </c>
      <c r="M30" s="17" t="s">
        <v>2516</v>
      </c>
      <c r="N30" s="17" t="s">
        <v>2517</v>
      </c>
      <c r="O30" s="17" t="s">
        <v>2518</v>
      </c>
      <c r="P30" s="17" t="s">
        <v>2519</v>
      </c>
      <c r="Q30" s="17" t="s">
        <v>2520</v>
      </c>
      <c r="R30" s="16" t="s">
        <v>65</v>
      </c>
      <c r="S30" s="16"/>
      <c r="T30" s="19" t="s">
        <v>2521</v>
      </c>
      <c r="U30" s="19" t="s">
        <v>67</v>
      </c>
    </row>
    <row r="31" customFormat="false" ht="96" hidden="false" customHeight="true" outlineLevel="0" collapsed="false">
      <c r="A31" s="16" t="n">
        <v>27</v>
      </c>
      <c r="B31" s="16" t="s">
        <v>2522</v>
      </c>
      <c r="C31" s="17" t="s">
        <v>2523</v>
      </c>
      <c r="D31" s="17" t="s">
        <v>2524</v>
      </c>
      <c r="E31" s="16" t="n">
        <v>2009</v>
      </c>
      <c r="F31" s="17" t="s">
        <v>2525</v>
      </c>
      <c r="G31" s="16" t="s">
        <v>446</v>
      </c>
      <c r="H31" s="24" t="s">
        <v>15</v>
      </c>
      <c r="I31" s="17" t="s">
        <v>592</v>
      </c>
      <c r="J31" s="17" t="s">
        <v>2489</v>
      </c>
      <c r="K31" s="17" t="s">
        <v>2526</v>
      </c>
      <c r="L31" s="17" t="s">
        <v>2527</v>
      </c>
      <c r="M31" s="17" t="s">
        <v>2528</v>
      </c>
      <c r="N31" s="17" t="s">
        <v>2529</v>
      </c>
      <c r="O31" s="17" t="s">
        <v>2494</v>
      </c>
      <c r="P31" s="17" t="s">
        <v>2530</v>
      </c>
      <c r="Q31" s="17" t="s">
        <v>2531</v>
      </c>
      <c r="R31" s="16" t="s">
        <v>65</v>
      </c>
      <c r="S31" s="16"/>
      <c r="T31" s="19" t="s">
        <v>2532</v>
      </c>
      <c r="U31" s="19" t="s">
        <v>67</v>
      </c>
    </row>
    <row r="32" customFormat="false" ht="96" hidden="false" customHeight="true" outlineLevel="0" collapsed="false">
      <c r="A32" s="16" t="n">
        <v>28</v>
      </c>
      <c r="B32" s="16" t="s">
        <v>2533</v>
      </c>
      <c r="C32" s="17" t="s">
        <v>2534</v>
      </c>
      <c r="D32" s="17" t="s">
        <v>2535</v>
      </c>
      <c r="E32" s="16" t="n">
        <v>2008</v>
      </c>
      <c r="F32" s="17" t="s">
        <v>2536</v>
      </c>
      <c r="G32" s="16" t="s">
        <v>199</v>
      </c>
      <c r="H32" s="25" t="s">
        <v>5</v>
      </c>
      <c r="I32" s="17" t="s">
        <v>811</v>
      </c>
      <c r="J32" s="17" t="s">
        <v>2537</v>
      </c>
      <c r="K32" s="17" t="s">
        <v>2538</v>
      </c>
      <c r="L32" s="17" t="s">
        <v>2539</v>
      </c>
      <c r="M32" s="17" t="s">
        <v>2540</v>
      </c>
      <c r="N32" s="17" t="s">
        <v>2541</v>
      </c>
      <c r="O32" s="17" t="s">
        <v>2542</v>
      </c>
      <c r="P32" s="17" t="s">
        <v>2543</v>
      </c>
      <c r="Q32" s="17" t="s">
        <v>2544</v>
      </c>
      <c r="R32" s="16" t="s">
        <v>65</v>
      </c>
      <c r="S32" s="16"/>
      <c r="T32" s="19" t="s">
        <v>2545</v>
      </c>
      <c r="U32" s="19" t="s">
        <v>67</v>
      </c>
    </row>
    <row r="33" customFormat="false" ht="96" hidden="false" customHeight="true" outlineLevel="0" collapsed="false">
      <c r="A33" s="16" t="n">
        <v>29</v>
      </c>
      <c r="B33" s="16" t="s">
        <v>2546</v>
      </c>
      <c r="C33" s="17" t="s">
        <v>2547</v>
      </c>
      <c r="D33" s="17" t="s">
        <v>2548</v>
      </c>
      <c r="E33" s="16" t="n">
        <v>2008</v>
      </c>
      <c r="F33" s="17" t="s">
        <v>2549</v>
      </c>
      <c r="G33" s="16" t="s">
        <v>84</v>
      </c>
      <c r="H33" s="25" t="s">
        <v>5</v>
      </c>
      <c r="I33" s="17" t="s">
        <v>811</v>
      </c>
      <c r="J33" s="17" t="s">
        <v>2550</v>
      </c>
      <c r="K33" s="17" t="s">
        <v>2551</v>
      </c>
      <c r="L33" s="17" t="s">
        <v>2552</v>
      </c>
      <c r="M33" s="17" t="s">
        <v>2553</v>
      </c>
      <c r="N33" s="17" t="s">
        <v>2554</v>
      </c>
      <c r="O33" s="17" t="s">
        <v>2555</v>
      </c>
      <c r="P33" s="17" t="s">
        <v>2556</v>
      </c>
      <c r="Q33" s="17" t="s">
        <v>2557</v>
      </c>
      <c r="R33" s="16" t="s">
        <v>65</v>
      </c>
      <c r="S33" s="16"/>
      <c r="T33" s="19" t="s">
        <v>2558</v>
      </c>
      <c r="U33" s="19" t="s">
        <v>67</v>
      </c>
    </row>
    <row r="34" customFormat="false" ht="96" hidden="false" customHeight="true" outlineLevel="0" collapsed="false">
      <c r="A34" s="16" t="n">
        <v>30</v>
      </c>
      <c r="B34" s="16" t="s">
        <v>2559</v>
      </c>
      <c r="C34" s="17" t="s">
        <v>2560</v>
      </c>
      <c r="D34" s="17" t="s">
        <v>2561</v>
      </c>
      <c r="E34" s="16" t="n">
        <v>2006</v>
      </c>
      <c r="F34" s="17" t="s">
        <v>2562</v>
      </c>
      <c r="G34" s="16" t="s">
        <v>84</v>
      </c>
      <c r="H34" s="25" t="s">
        <v>5</v>
      </c>
      <c r="I34" s="17" t="s">
        <v>811</v>
      </c>
      <c r="J34" s="17" t="s">
        <v>2563</v>
      </c>
      <c r="K34" s="17" t="s">
        <v>2564</v>
      </c>
      <c r="L34" s="17" t="s">
        <v>2565</v>
      </c>
      <c r="M34" s="17" t="s">
        <v>2566</v>
      </c>
      <c r="N34" s="17" t="s">
        <v>2567</v>
      </c>
      <c r="O34" s="17" t="s">
        <v>2568</v>
      </c>
      <c r="P34" s="17" t="s">
        <v>2569</v>
      </c>
      <c r="Q34" s="17" t="s">
        <v>2570</v>
      </c>
      <c r="R34" s="16" t="s">
        <v>65</v>
      </c>
      <c r="S34" s="16"/>
      <c r="T34" s="19" t="s">
        <v>2571</v>
      </c>
      <c r="U34" s="19" t="s">
        <v>67</v>
      </c>
    </row>
    <row r="35" customFormat="false" ht="96" hidden="false" customHeight="true" outlineLevel="0" collapsed="false">
      <c r="A35" s="16" t="n">
        <v>31</v>
      </c>
      <c r="B35" s="16" t="s">
        <v>2572</v>
      </c>
      <c r="C35" s="17" t="s">
        <v>2573</v>
      </c>
      <c r="D35" s="17" t="s">
        <v>2574</v>
      </c>
      <c r="E35" s="16" t="n">
        <v>2006</v>
      </c>
      <c r="F35" s="17" t="s">
        <v>2575</v>
      </c>
      <c r="G35" s="16" t="s">
        <v>446</v>
      </c>
      <c r="H35" s="25" t="s">
        <v>7</v>
      </c>
      <c r="I35" s="17" t="s">
        <v>811</v>
      </c>
      <c r="J35" s="17" t="s">
        <v>2576</v>
      </c>
      <c r="K35" s="17" t="s">
        <v>1109</v>
      </c>
      <c r="L35" s="17" t="s">
        <v>2577</v>
      </c>
      <c r="M35" s="17" t="s">
        <v>2578</v>
      </c>
      <c r="N35" s="17" t="s">
        <v>2579</v>
      </c>
      <c r="O35" s="17" t="s">
        <v>2580</v>
      </c>
      <c r="P35" s="17" t="s">
        <v>2581</v>
      </c>
      <c r="Q35" s="17" t="s">
        <v>2582</v>
      </c>
      <c r="R35" s="16" t="s">
        <v>65</v>
      </c>
      <c r="S35" s="16"/>
      <c r="T35" s="19" t="s">
        <v>2583</v>
      </c>
      <c r="U35" s="19" t="s">
        <v>67</v>
      </c>
    </row>
    <row r="36" customFormat="false" ht="96" hidden="false" customHeight="true" outlineLevel="0" collapsed="false">
      <c r="A36" s="16" t="n">
        <v>32</v>
      </c>
      <c r="B36" s="16" t="s">
        <v>2584</v>
      </c>
      <c r="C36" s="17" t="s">
        <v>2585</v>
      </c>
      <c r="D36" s="17" t="s">
        <v>2586</v>
      </c>
      <c r="E36" s="16" t="n">
        <v>2006</v>
      </c>
      <c r="F36" s="17" t="s">
        <v>237</v>
      </c>
      <c r="G36" s="16" t="s">
        <v>199</v>
      </c>
      <c r="H36" s="25" t="s">
        <v>5</v>
      </c>
      <c r="I36" s="17" t="s">
        <v>811</v>
      </c>
      <c r="J36" s="17" t="s">
        <v>2587</v>
      </c>
      <c r="K36" s="17" t="s">
        <v>2588</v>
      </c>
      <c r="L36" s="17" t="s">
        <v>2589</v>
      </c>
      <c r="M36" s="17" t="s">
        <v>2590</v>
      </c>
      <c r="N36" s="17" t="s">
        <v>2591</v>
      </c>
      <c r="O36" s="17" t="s">
        <v>2592</v>
      </c>
      <c r="P36" s="17" t="s">
        <v>2593</v>
      </c>
      <c r="Q36" s="17" t="s">
        <v>2594</v>
      </c>
      <c r="R36" s="16" t="s">
        <v>65</v>
      </c>
      <c r="S36" s="16"/>
      <c r="T36" s="19" t="s">
        <v>2595</v>
      </c>
      <c r="U36" s="19" t="s">
        <v>67</v>
      </c>
    </row>
    <row r="37" customFormat="false" ht="96" hidden="false" customHeight="true" outlineLevel="0" collapsed="false">
      <c r="A37" s="16" t="n">
        <v>33</v>
      </c>
      <c r="B37" s="16" t="s">
        <v>2596</v>
      </c>
      <c r="C37" s="17" t="s">
        <v>2597</v>
      </c>
      <c r="D37" s="17" t="s">
        <v>2598</v>
      </c>
      <c r="E37" s="16" t="n">
        <v>2005</v>
      </c>
      <c r="F37" s="17" t="s">
        <v>2599</v>
      </c>
      <c r="G37" s="16" t="s">
        <v>446</v>
      </c>
      <c r="H37" s="25" t="s">
        <v>5</v>
      </c>
      <c r="I37" s="17" t="s">
        <v>811</v>
      </c>
      <c r="J37" s="17" t="s">
        <v>2600</v>
      </c>
      <c r="K37" s="17" t="s">
        <v>2601</v>
      </c>
      <c r="L37" s="17" t="s">
        <v>2602</v>
      </c>
      <c r="M37" s="17" t="s">
        <v>2603</v>
      </c>
      <c r="N37" s="17" t="s">
        <v>2591</v>
      </c>
      <c r="O37" s="17" t="s">
        <v>2604</v>
      </c>
      <c r="P37" s="17" t="s">
        <v>2605</v>
      </c>
      <c r="Q37" s="17" t="s">
        <v>2606</v>
      </c>
      <c r="R37" s="16" t="s">
        <v>65</v>
      </c>
      <c r="S37" s="16"/>
      <c r="T37" s="19" t="s">
        <v>2607</v>
      </c>
      <c r="U37" s="19" t="s">
        <v>67</v>
      </c>
    </row>
    <row r="38" customFormat="false" ht="96" hidden="false" customHeight="true" outlineLevel="0" collapsed="false">
      <c r="A38" s="16" t="n">
        <v>34</v>
      </c>
      <c r="B38" s="16" t="s">
        <v>2608</v>
      </c>
      <c r="C38" s="17" t="s">
        <v>2609</v>
      </c>
      <c r="D38" s="17" t="s">
        <v>2610</v>
      </c>
      <c r="E38" s="16" t="n">
        <v>2005</v>
      </c>
      <c r="F38" s="17" t="s">
        <v>2611</v>
      </c>
      <c r="G38" s="16" t="s">
        <v>84</v>
      </c>
      <c r="H38" s="25" t="s">
        <v>5</v>
      </c>
      <c r="I38" s="17" t="s">
        <v>811</v>
      </c>
      <c r="J38" s="17" t="s">
        <v>2600</v>
      </c>
      <c r="K38" s="17" t="s">
        <v>2612</v>
      </c>
      <c r="L38" s="17" t="s">
        <v>2613</v>
      </c>
      <c r="M38" s="17" t="s">
        <v>2614</v>
      </c>
      <c r="N38" s="17" t="s">
        <v>2615</v>
      </c>
      <c r="O38" s="17" t="s">
        <v>2616</v>
      </c>
      <c r="P38" s="17" t="s">
        <v>2617</v>
      </c>
      <c r="Q38" s="17" t="s">
        <v>2618</v>
      </c>
      <c r="R38" s="16" t="s">
        <v>65</v>
      </c>
      <c r="S38" s="16"/>
      <c r="T38" s="19" t="s">
        <v>2619</v>
      </c>
      <c r="U38" s="19" t="s">
        <v>67</v>
      </c>
    </row>
    <row r="39" customFormat="false" ht="96" hidden="false" customHeight="true" outlineLevel="0" collapsed="false">
      <c r="A39" s="16" t="n">
        <v>35</v>
      </c>
      <c r="B39" s="16" t="s">
        <v>2620</v>
      </c>
      <c r="C39" s="17" t="s">
        <v>2621</v>
      </c>
      <c r="D39" s="17" t="s">
        <v>2622</v>
      </c>
      <c r="E39" s="16" t="n">
        <v>2004</v>
      </c>
      <c r="F39" s="17" t="s">
        <v>2623</v>
      </c>
      <c r="G39" s="16" t="s">
        <v>84</v>
      </c>
      <c r="H39" s="24" t="s">
        <v>15</v>
      </c>
      <c r="I39" s="17" t="s">
        <v>592</v>
      </c>
      <c r="J39" s="17" t="s">
        <v>2624</v>
      </c>
      <c r="K39" s="17" t="s">
        <v>2625</v>
      </c>
      <c r="L39" s="17" t="s">
        <v>2626</v>
      </c>
      <c r="M39" s="17" t="s">
        <v>2627</v>
      </c>
      <c r="N39" s="17" t="s">
        <v>2628</v>
      </c>
      <c r="O39" s="17" t="s">
        <v>2629</v>
      </c>
      <c r="P39" s="17" t="s">
        <v>2630</v>
      </c>
      <c r="Q39" s="17" t="s">
        <v>2631</v>
      </c>
      <c r="R39" s="16" t="s">
        <v>65</v>
      </c>
      <c r="S39" s="16"/>
      <c r="T39" s="19" t="s">
        <v>2632</v>
      </c>
      <c r="U39" s="19" t="s">
        <v>67</v>
      </c>
    </row>
    <row r="40" customFormat="false" ht="96" hidden="false" customHeight="true" outlineLevel="0" collapsed="false">
      <c r="A40" s="16" t="n">
        <v>36</v>
      </c>
      <c r="B40" s="16" t="s">
        <v>2633</v>
      </c>
      <c r="C40" s="17" t="s">
        <v>2634</v>
      </c>
      <c r="D40" s="17" t="s">
        <v>2635</v>
      </c>
      <c r="E40" s="16" t="n">
        <v>2002</v>
      </c>
      <c r="F40" s="17" t="s">
        <v>2636</v>
      </c>
      <c r="G40" s="16" t="s">
        <v>446</v>
      </c>
      <c r="H40" s="24" t="s">
        <v>15</v>
      </c>
      <c r="I40" s="17" t="s">
        <v>592</v>
      </c>
      <c r="J40" s="17" t="s">
        <v>2576</v>
      </c>
      <c r="K40" s="17" t="s">
        <v>2637</v>
      </c>
      <c r="L40" s="17" t="s">
        <v>2638</v>
      </c>
      <c r="M40" s="17" t="s">
        <v>2639</v>
      </c>
      <c r="N40" s="17" t="s">
        <v>1213</v>
      </c>
      <c r="O40" s="17" t="s">
        <v>2640</v>
      </c>
      <c r="P40" s="17" t="s">
        <v>2641</v>
      </c>
      <c r="Q40" s="17" t="s">
        <v>2642</v>
      </c>
      <c r="R40" s="16" t="s">
        <v>65</v>
      </c>
      <c r="S40" s="16"/>
      <c r="T40" s="19" t="s">
        <v>2643</v>
      </c>
      <c r="U40" s="19" t="s">
        <v>67</v>
      </c>
    </row>
    <row r="41" customFormat="false" ht="96" hidden="false" customHeight="true" outlineLevel="0" collapsed="false">
      <c r="A41" s="16" t="n">
        <v>37</v>
      </c>
      <c r="B41" s="16" t="s">
        <v>2644</v>
      </c>
      <c r="C41" s="17" t="s">
        <v>2645</v>
      </c>
      <c r="D41" s="17" t="s">
        <v>2646</v>
      </c>
      <c r="E41" s="16" t="n">
        <v>2001</v>
      </c>
      <c r="F41" s="17" t="s">
        <v>2647</v>
      </c>
      <c r="G41" s="16" t="s">
        <v>84</v>
      </c>
      <c r="H41" s="24" t="s">
        <v>15</v>
      </c>
      <c r="I41" s="17" t="s">
        <v>592</v>
      </c>
      <c r="J41" s="17" t="s">
        <v>2648</v>
      </c>
      <c r="K41" s="17" t="s">
        <v>2649</v>
      </c>
      <c r="L41" s="17" t="s">
        <v>2650</v>
      </c>
      <c r="M41" s="17" t="s">
        <v>2651</v>
      </c>
      <c r="N41" s="17" t="s">
        <v>2652</v>
      </c>
      <c r="O41" s="17" t="s">
        <v>2653</v>
      </c>
      <c r="P41" s="17" t="s">
        <v>2654</v>
      </c>
      <c r="Q41" s="17" t="s">
        <v>2655</v>
      </c>
      <c r="R41" s="16" t="s">
        <v>65</v>
      </c>
      <c r="S41" s="16"/>
      <c r="T41" s="19" t="s">
        <v>2656</v>
      </c>
      <c r="U41" s="19" t="s">
        <v>67</v>
      </c>
    </row>
    <row r="42" customFormat="false" ht="96" hidden="false" customHeight="true" outlineLevel="0" collapsed="false">
      <c r="A42" s="16" t="n">
        <v>38</v>
      </c>
      <c r="B42" s="16" t="s">
        <v>2657</v>
      </c>
      <c r="C42" s="17" t="s">
        <v>2658</v>
      </c>
      <c r="D42" s="17" t="s">
        <v>2659</v>
      </c>
      <c r="E42" s="16" t="n">
        <v>2000</v>
      </c>
      <c r="F42" s="17" t="s">
        <v>2660</v>
      </c>
      <c r="G42" s="16" t="s">
        <v>162</v>
      </c>
      <c r="H42" s="25" t="s">
        <v>5</v>
      </c>
      <c r="I42" s="17" t="s">
        <v>811</v>
      </c>
      <c r="J42" s="17" t="s">
        <v>2661</v>
      </c>
      <c r="K42" s="17" t="s">
        <v>2564</v>
      </c>
      <c r="L42" s="17" t="s">
        <v>2662</v>
      </c>
      <c r="M42" s="17" t="s">
        <v>2663</v>
      </c>
      <c r="N42" s="17" t="s">
        <v>2664</v>
      </c>
      <c r="O42" s="17" t="s">
        <v>2665</v>
      </c>
      <c r="P42" s="17" t="s">
        <v>2666</v>
      </c>
      <c r="Q42" s="17" t="s">
        <v>2667</v>
      </c>
      <c r="R42" s="16" t="s">
        <v>65</v>
      </c>
      <c r="S42" s="16"/>
      <c r="T42" s="19" t="s">
        <v>2668</v>
      </c>
      <c r="U42" s="19" t="s">
        <v>67</v>
      </c>
    </row>
    <row r="43" customFormat="false" ht="96" hidden="false" customHeight="true" outlineLevel="0" collapsed="false">
      <c r="A43" s="16" t="n">
        <v>39</v>
      </c>
      <c r="B43" s="16" t="s">
        <v>2669</v>
      </c>
      <c r="C43" s="17" t="s">
        <v>2670</v>
      </c>
      <c r="D43" s="17" t="s">
        <v>2671</v>
      </c>
      <c r="E43" s="16" t="n">
        <v>1999</v>
      </c>
      <c r="F43" s="17" t="s">
        <v>2280</v>
      </c>
      <c r="G43" s="16" t="s">
        <v>446</v>
      </c>
      <c r="H43" s="24" t="s">
        <v>15</v>
      </c>
      <c r="I43" s="17" t="s">
        <v>592</v>
      </c>
      <c r="J43" s="17" t="s">
        <v>2576</v>
      </c>
      <c r="K43" s="17" t="s">
        <v>2672</v>
      </c>
      <c r="L43" s="17" t="s">
        <v>2673</v>
      </c>
      <c r="M43" s="17" t="s">
        <v>2674</v>
      </c>
      <c r="N43" s="17" t="s">
        <v>2321</v>
      </c>
      <c r="O43" s="17" t="s">
        <v>2675</v>
      </c>
      <c r="P43" s="17" t="s">
        <v>2676</v>
      </c>
      <c r="Q43" s="17" t="s">
        <v>2677</v>
      </c>
      <c r="R43" s="16" t="s">
        <v>65</v>
      </c>
      <c r="S43" s="16"/>
      <c r="T43" s="19" t="s">
        <v>2678</v>
      </c>
      <c r="U43" s="19" t="s">
        <v>67</v>
      </c>
    </row>
  </sheetData>
  <autoFilter ref="A4:U43"/>
  <hyperlinks>
    <hyperlink ref="T5" r:id="rId1" display="https://arxiv.org/abs/1703.09471"/>
    <hyperlink ref="U5" r:id="rId2" display="Search"/>
    <hyperlink ref="T6" r:id="rId3" display="https://doi.org/10.1109/CVPRW.2017.173"/>
    <hyperlink ref="U6" r:id="rId4" display="Search"/>
    <hyperlink ref="T7" r:id="rId5" display="https://arxiv.org/abs/1610.05820"/>
    <hyperlink ref="U7" r:id="rId6" display="Search"/>
    <hyperlink ref="T8" r:id="rId7" display="https://ojs.aaai.org/index.php/AAAI/article/view/11233"/>
    <hyperlink ref="U8" r:id="rId8" display="Search"/>
    <hyperlink ref="T9" r:id="rId9" display="https://doi.org/10.1109/BTAS.2017.8272743"/>
    <hyperlink ref="U9" r:id="rId10" display="Search"/>
    <hyperlink ref="T10" r:id="rId11" display="https://doi.org/10.1145/2976749.2978392"/>
    <hyperlink ref="U10" r:id="rId12" display="Search"/>
    <hyperlink ref="T11" r:id="rId13" display="https://doi.org/10.1016/j.image.2016.05.020"/>
    <hyperlink ref="U11" r:id="rId14" display="Search"/>
    <hyperlink ref="S12" r:id="rId15" display="https://github.com/tensorflow/privacy"/>
    <hyperlink ref="T12" r:id="rId16" display="https://arxiv.org/abs/1607.00133"/>
    <hyperlink ref="U12" r:id="rId17" display="Search"/>
    <hyperlink ref="T13" r:id="rId18" display="https://doi.org/10.1109/CVPRW.2016.17"/>
    <hyperlink ref="U13" r:id="rId19" display="Search"/>
    <hyperlink ref="T14" r:id="rId20" display="https://arxiv.org/abs/1609.00408"/>
    <hyperlink ref="U14" r:id="rId21" display="Search"/>
    <hyperlink ref="T15" r:id="rId22" display="https://arxiv.org/abs/1607.08438"/>
    <hyperlink ref="U15" r:id="rId23" display="Search"/>
    <hyperlink ref="T16" r:id="rId24" display="https://arxiv.org/abs/1606.04189"/>
    <hyperlink ref="U16" r:id="rId25" display="Search"/>
    <hyperlink ref="T17" r:id="rId26" display="https://arxiv.org/abs/1607.08221"/>
    <hyperlink ref="U17" r:id="rId27" display="Search"/>
    <hyperlink ref="T18" r:id="rId28" display="https://www.perpetuallineup.org"/>
    <hyperlink ref="U18" r:id="rId29" display="Search"/>
    <hyperlink ref="T19" r:id="rId30" display="https://doi.org/10.1109/MSP.2015.2427849"/>
    <hyperlink ref="U19" r:id="rId31" display="Search"/>
    <hyperlink ref="T20" r:id="rId32" display="https://doi.org/10.1145/2810103.2813603"/>
    <hyperlink ref="U20" r:id="rId33" display="Search"/>
    <hyperlink ref="T21" r:id="rId34" display="https://doi.org/10.1109/CVPR.2015.7298658"/>
    <hyperlink ref="U21" r:id="rId35" display="Search"/>
    <hyperlink ref="T22" r:id="rId36" display="https://www.reflectacles.com"/>
    <hyperlink ref="U22" r:id="rId37" display="Search"/>
    <hyperlink ref="T23" r:id="rId38" display="https://doi.org/10.1109/SP.2015.35"/>
    <hyperlink ref="U23" r:id="rId39" display="Search"/>
    <hyperlink ref="T24" r:id="rId40" display="https://doi.org/10.1016/j.eswa.2015.01.041"/>
    <hyperlink ref="U24" r:id="rId41" display="Search"/>
    <hyperlink ref="T25" r:id="rId42" display="https://doi.org/10.1109/ICDSP.2013.6622791"/>
    <hyperlink ref="U25" r:id="rId43" display="Search"/>
    <hyperlink ref="T26" r:id="rId44" display="https://cvdazzle.com"/>
    <hyperlink ref="U26" r:id="rId45" display="Search"/>
    <hyperlink ref="T27" r:id="rId46" display="https://doi.org/10.1109/SP.2010.39"/>
    <hyperlink ref="U27" r:id="rId47" display="Search"/>
    <hyperlink ref="T28" r:id="rId48" display="https://doi.org/10.1007/978-3-642-14423-3_16"/>
    <hyperlink ref="U28" r:id="rId49" display="Search"/>
    <hyperlink ref="T29" r:id="rId50" display="https://doi.org/10.1007/978-1-84882-301-3_8"/>
    <hyperlink ref="U29" r:id="rId51" display="Search"/>
    <hyperlink ref="T30" r:id="rId52" display="https://doi.org/10.1109/ICCV.2009.5459413"/>
    <hyperlink ref="U30" r:id="rId53" display="Search"/>
    <hyperlink ref="T31" r:id="rId54" display="https://doi.org/10.1007/978-3-642-03168-7_14"/>
    <hyperlink ref="U31" r:id="rId55" display="Search"/>
    <hyperlink ref="T32" r:id="rId56" display="https://doi.org/10.1145/1360612.1360638"/>
    <hyperlink ref="U32" r:id="rId57" display="Search"/>
    <hyperlink ref="T33" r:id="rId58" display="https://doi.org/10.1109/TCSVT.2008.928225"/>
    <hyperlink ref="U33" r:id="rId59" display="Search"/>
    <hyperlink ref="T34" r:id="rId60" display="https://doi.org/10.1145/1143518.1143519"/>
    <hyperlink ref="U34" r:id="rId61" display="Search"/>
    <hyperlink ref="T35" r:id="rId62" display="https://doi.org/10.1007/11681878_14"/>
    <hyperlink ref="U35" r:id="rId63" display="Search"/>
    <hyperlink ref="T36" r:id="rId64" display="https://doi.org/10.1109/CVPRW.2006.125"/>
    <hyperlink ref="U36" r:id="rId65" display="Search"/>
    <hyperlink ref="T37" r:id="rId66" display="https://doi.org/10.1007/11767831_15"/>
    <hyperlink ref="U37" r:id="rId67" display="Search"/>
    <hyperlink ref="T38" r:id="rId68" display="https://doi.org/10.1109/TKDE.2005.32"/>
    <hyperlink ref="U38" r:id="rId69" display="Search"/>
    <hyperlink ref="T39" r:id="rId70" display="https://doi.org/10.1016/j.patcog.2004.04.011"/>
    <hyperlink ref="U39" r:id="rId71" display="Search"/>
    <hyperlink ref="T40" r:id="rId72" display="https://doi.org/10.1109/ISIT.2002.1023680"/>
    <hyperlink ref="U40" r:id="rId73" display="Search"/>
    <hyperlink ref="T41" r:id="rId74" display="https://doi.org/10.1147/sj.403.0614"/>
    <hyperlink ref="U41" r:id="rId75" display="Search"/>
    <hyperlink ref="T42" r:id="rId76" display="https://doi.org/10.1145/358916.358935"/>
    <hyperlink ref="U42" r:id="rId77" display="Search"/>
    <hyperlink ref="T43" r:id="rId78" display="https://doi.org/10.1145/319709.319714"/>
    <hyperlink ref="U43" r:id="rId79"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2682</v>
      </c>
    </row>
    <row r="2" customFormat="false" ht="15" hidden="false" customHeight="false" outlineLevel="0" collapsed="false">
      <c r="A2" s="14" t="s">
        <v>2699</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2068</v>
      </c>
      <c r="C5" s="17" t="s">
        <v>2069</v>
      </c>
      <c r="D5" s="17" t="s">
        <v>2070</v>
      </c>
      <c r="E5" s="16" t="n">
        <v>2018</v>
      </c>
      <c r="F5" s="17" t="s">
        <v>350</v>
      </c>
      <c r="G5" s="16" t="s">
        <v>199</v>
      </c>
      <c r="H5" s="22" t="s">
        <v>9</v>
      </c>
      <c r="I5" s="17" t="s">
        <v>223</v>
      </c>
      <c r="J5" s="17" t="s">
        <v>2071</v>
      </c>
      <c r="K5" s="17" t="s">
        <v>2072</v>
      </c>
      <c r="L5" s="17" t="s">
        <v>2073</v>
      </c>
      <c r="M5" s="17" t="s">
        <v>2074</v>
      </c>
      <c r="N5" s="17" t="s">
        <v>437</v>
      </c>
      <c r="O5" s="17" t="s">
        <v>2075</v>
      </c>
      <c r="P5" s="17" t="s">
        <v>2076</v>
      </c>
      <c r="Q5" s="17" t="s">
        <v>2077</v>
      </c>
      <c r="R5" s="16" t="s">
        <v>65</v>
      </c>
      <c r="S5" s="16"/>
      <c r="T5" s="19" t="s">
        <v>2078</v>
      </c>
      <c r="U5" s="19" t="s">
        <v>67</v>
      </c>
    </row>
    <row r="6" customFormat="false" ht="96" hidden="false" customHeight="true" outlineLevel="0" collapsed="false">
      <c r="A6" s="16" t="n">
        <v>2</v>
      </c>
      <c r="B6" s="16" t="s">
        <v>2079</v>
      </c>
      <c r="C6" s="17" t="s">
        <v>2080</v>
      </c>
      <c r="D6" s="17" t="s">
        <v>2081</v>
      </c>
      <c r="E6" s="16" t="n">
        <v>2018</v>
      </c>
      <c r="F6" s="17" t="s">
        <v>71</v>
      </c>
      <c r="G6" s="16" t="s">
        <v>56</v>
      </c>
      <c r="H6" s="25" t="s">
        <v>7</v>
      </c>
      <c r="I6" s="17" t="s">
        <v>811</v>
      </c>
      <c r="J6" s="17" t="s">
        <v>2082</v>
      </c>
      <c r="K6" s="17" t="s">
        <v>2083</v>
      </c>
      <c r="L6" s="17" t="s">
        <v>2084</v>
      </c>
      <c r="M6" s="17" t="s">
        <v>2085</v>
      </c>
      <c r="N6" s="17" t="s">
        <v>2041</v>
      </c>
      <c r="O6" s="17" t="s">
        <v>2086</v>
      </c>
      <c r="P6" s="17" t="s">
        <v>2087</v>
      </c>
      <c r="Q6" s="17" t="s">
        <v>2088</v>
      </c>
      <c r="R6" s="16" t="s">
        <v>65</v>
      </c>
      <c r="S6" s="16"/>
      <c r="T6" s="19" t="s">
        <v>2089</v>
      </c>
      <c r="U6" s="19" t="s">
        <v>67</v>
      </c>
    </row>
    <row r="7" customFormat="false" ht="96" hidden="false" customHeight="true" outlineLevel="0" collapsed="false">
      <c r="A7" s="16" t="n">
        <v>3</v>
      </c>
      <c r="B7" s="16" t="s">
        <v>2090</v>
      </c>
      <c r="C7" s="17" t="s">
        <v>2091</v>
      </c>
      <c r="D7" s="17" t="s">
        <v>2092</v>
      </c>
      <c r="E7" s="16" t="n">
        <v>2018</v>
      </c>
      <c r="F7" s="17" t="s">
        <v>237</v>
      </c>
      <c r="G7" s="16" t="s">
        <v>199</v>
      </c>
      <c r="H7" s="24" t="s">
        <v>15</v>
      </c>
      <c r="I7" s="17" t="s">
        <v>592</v>
      </c>
      <c r="J7" s="17" t="s">
        <v>2093</v>
      </c>
      <c r="K7" s="17" t="s">
        <v>2094</v>
      </c>
      <c r="L7" s="17" t="s">
        <v>2095</v>
      </c>
      <c r="M7" s="17" t="s">
        <v>2096</v>
      </c>
      <c r="N7" s="17" t="s">
        <v>1213</v>
      </c>
      <c r="O7" s="17" t="s">
        <v>1282</v>
      </c>
      <c r="P7" s="17" t="s">
        <v>2097</v>
      </c>
      <c r="Q7" s="17" t="s">
        <v>2098</v>
      </c>
      <c r="R7" s="16" t="s">
        <v>65</v>
      </c>
      <c r="S7" s="16"/>
      <c r="T7" s="19" t="s">
        <v>2099</v>
      </c>
      <c r="U7" s="19" t="s">
        <v>67</v>
      </c>
    </row>
    <row r="8" customFormat="false" ht="96" hidden="false" customHeight="true" outlineLevel="0" collapsed="false">
      <c r="A8" s="16" t="n">
        <v>4</v>
      </c>
      <c r="B8" s="16" t="s">
        <v>2100</v>
      </c>
      <c r="C8" s="17" t="s">
        <v>2101</v>
      </c>
      <c r="D8" s="17" t="s">
        <v>2102</v>
      </c>
      <c r="E8" s="16" t="n">
        <v>2018</v>
      </c>
      <c r="F8" s="17" t="s">
        <v>2103</v>
      </c>
      <c r="G8" s="16" t="s">
        <v>148</v>
      </c>
      <c r="H8" s="20" t="s">
        <v>25</v>
      </c>
      <c r="I8" s="17" t="s">
        <v>72</v>
      </c>
      <c r="J8" s="17" t="s">
        <v>2104</v>
      </c>
      <c r="K8" s="17" t="s">
        <v>2105</v>
      </c>
      <c r="L8" s="17" t="s">
        <v>2106</v>
      </c>
      <c r="M8" s="17" t="s">
        <v>2107</v>
      </c>
      <c r="N8" s="17" t="s">
        <v>2108</v>
      </c>
      <c r="O8" s="17" t="s">
        <v>76</v>
      </c>
      <c r="P8" s="17" t="s">
        <v>2109</v>
      </c>
      <c r="Q8" s="17" t="s">
        <v>2110</v>
      </c>
      <c r="R8" s="16" t="s">
        <v>65</v>
      </c>
      <c r="S8" s="16"/>
      <c r="T8" s="19" t="s">
        <v>2111</v>
      </c>
      <c r="U8" s="19" t="s">
        <v>67</v>
      </c>
    </row>
    <row r="9" customFormat="false" ht="96" hidden="false" customHeight="true" outlineLevel="0" collapsed="false">
      <c r="A9" s="16" t="n">
        <v>5</v>
      </c>
      <c r="B9" s="16" t="s">
        <v>2112</v>
      </c>
      <c r="C9" s="17" t="s">
        <v>2113</v>
      </c>
      <c r="D9" s="17" t="s">
        <v>2114</v>
      </c>
      <c r="E9" s="16" t="n">
        <v>2018</v>
      </c>
      <c r="F9" s="17" t="s">
        <v>83</v>
      </c>
      <c r="G9" s="16" t="s">
        <v>84</v>
      </c>
      <c r="H9" s="24" t="s">
        <v>15</v>
      </c>
      <c r="I9" s="17" t="s">
        <v>592</v>
      </c>
      <c r="J9" s="17" t="s">
        <v>2115</v>
      </c>
      <c r="K9" s="17" t="s">
        <v>2116</v>
      </c>
      <c r="L9" s="17" t="s">
        <v>2117</v>
      </c>
      <c r="M9" s="17" t="s">
        <v>2118</v>
      </c>
      <c r="N9" s="17" t="s">
        <v>2119</v>
      </c>
      <c r="O9" s="17" t="s">
        <v>2120</v>
      </c>
      <c r="P9" s="17" t="s">
        <v>2121</v>
      </c>
      <c r="Q9" s="17" t="s">
        <v>2122</v>
      </c>
      <c r="R9" s="16" t="s">
        <v>65</v>
      </c>
      <c r="S9" s="16"/>
      <c r="T9" s="19" t="s">
        <v>2123</v>
      </c>
      <c r="U9" s="19" t="s">
        <v>67</v>
      </c>
    </row>
    <row r="10" customFormat="false" ht="96" hidden="false" customHeight="true" outlineLevel="0" collapsed="false">
      <c r="A10" s="16" t="n">
        <v>6</v>
      </c>
      <c r="B10" s="16" t="s">
        <v>2124</v>
      </c>
      <c r="C10" s="17" t="s">
        <v>2125</v>
      </c>
      <c r="D10" s="17" t="s">
        <v>2047</v>
      </c>
      <c r="E10" s="16" t="n">
        <v>2018</v>
      </c>
      <c r="F10" s="17" t="s">
        <v>2126</v>
      </c>
      <c r="G10" s="16" t="s">
        <v>446</v>
      </c>
      <c r="H10" s="25" t="s">
        <v>7</v>
      </c>
      <c r="I10" s="17" t="s">
        <v>811</v>
      </c>
      <c r="J10" s="17" t="s">
        <v>2127</v>
      </c>
      <c r="K10" s="17" t="s">
        <v>2128</v>
      </c>
      <c r="L10" s="17" t="s">
        <v>2129</v>
      </c>
      <c r="M10" s="17" t="s">
        <v>2130</v>
      </c>
      <c r="N10" s="17" t="s">
        <v>2131</v>
      </c>
      <c r="O10" s="17" t="s">
        <v>2132</v>
      </c>
      <c r="P10" s="17" t="s">
        <v>2133</v>
      </c>
      <c r="Q10" s="17" t="s">
        <v>2134</v>
      </c>
      <c r="R10" s="16" t="s">
        <v>65</v>
      </c>
      <c r="S10" s="16"/>
      <c r="T10" s="19" t="s">
        <v>2135</v>
      </c>
      <c r="U10" s="19" t="s">
        <v>67</v>
      </c>
    </row>
    <row r="11" customFormat="false" ht="96" hidden="false" customHeight="true" outlineLevel="0" collapsed="false">
      <c r="A11" s="16" t="n">
        <v>7</v>
      </c>
      <c r="B11" s="16" t="s">
        <v>2136</v>
      </c>
      <c r="C11" s="17" t="s">
        <v>2137</v>
      </c>
      <c r="D11" s="17" t="s">
        <v>2138</v>
      </c>
      <c r="E11" s="16" t="n">
        <v>2018</v>
      </c>
      <c r="F11" s="17" t="s">
        <v>71</v>
      </c>
      <c r="G11" s="16" t="s">
        <v>56</v>
      </c>
      <c r="H11" s="21" t="s">
        <v>11</v>
      </c>
      <c r="I11" s="17" t="s">
        <v>125</v>
      </c>
      <c r="J11" s="17" t="s">
        <v>1980</v>
      </c>
      <c r="K11" s="17" t="s">
        <v>1485</v>
      </c>
      <c r="L11" s="17" t="s">
        <v>2139</v>
      </c>
      <c r="M11" s="17" t="s">
        <v>2140</v>
      </c>
      <c r="N11" s="17" t="s">
        <v>2141</v>
      </c>
      <c r="O11" s="17" t="s">
        <v>2142</v>
      </c>
      <c r="P11" s="17" t="s">
        <v>2143</v>
      </c>
      <c r="Q11" s="17" t="s">
        <v>2144</v>
      </c>
      <c r="R11" s="16" t="s">
        <v>65</v>
      </c>
      <c r="S11" s="16"/>
      <c r="T11" s="19" t="s">
        <v>2145</v>
      </c>
      <c r="U11" s="19" t="s">
        <v>67</v>
      </c>
    </row>
    <row r="12" customFormat="false" ht="96" hidden="false" customHeight="true" outlineLevel="0" collapsed="false">
      <c r="A12" s="16" t="n">
        <v>8</v>
      </c>
      <c r="B12" s="16" t="s">
        <v>2146</v>
      </c>
      <c r="C12" s="17" t="s">
        <v>2147</v>
      </c>
      <c r="D12" s="17" t="s">
        <v>2148</v>
      </c>
      <c r="E12" s="16" t="n">
        <v>2018</v>
      </c>
      <c r="F12" s="17" t="s">
        <v>350</v>
      </c>
      <c r="G12" s="16" t="s">
        <v>199</v>
      </c>
      <c r="H12" s="22" t="s">
        <v>9</v>
      </c>
      <c r="I12" s="17" t="s">
        <v>223</v>
      </c>
      <c r="J12" s="17" t="s">
        <v>2149</v>
      </c>
      <c r="K12" s="17" t="s">
        <v>2150</v>
      </c>
      <c r="L12" s="17" t="s">
        <v>2151</v>
      </c>
      <c r="M12" s="17" t="s">
        <v>2152</v>
      </c>
      <c r="N12" s="17" t="s">
        <v>2153</v>
      </c>
      <c r="O12" s="17" t="s">
        <v>2154</v>
      </c>
      <c r="P12" s="17" t="s">
        <v>2155</v>
      </c>
      <c r="Q12" s="17" t="s">
        <v>2156</v>
      </c>
      <c r="R12" s="16" t="s">
        <v>65</v>
      </c>
      <c r="S12" s="16"/>
      <c r="T12" s="19" t="s">
        <v>2157</v>
      </c>
      <c r="U12" s="19" t="s">
        <v>67</v>
      </c>
    </row>
    <row r="13" customFormat="false" ht="96" hidden="false" customHeight="true" outlineLevel="0" collapsed="false">
      <c r="A13" s="16" t="n">
        <v>9</v>
      </c>
      <c r="B13" s="16" t="s">
        <v>2158</v>
      </c>
      <c r="C13" s="17" t="s">
        <v>2159</v>
      </c>
      <c r="D13" s="17" t="s">
        <v>2160</v>
      </c>
      <c r="E13" s="16" t="n">
        <v>2018</v>
      </c>
      <c r="F13" s="17" t="s">
        <v>209</v>
      </c>
      <c r="G13" s="16" t="s">
        <v>199</v>
      </c>
      <c r="H13" s="22" t="s">
        <v>9</v>
      </c>
      <c r="I13" s="17" t="s">
        <v>223</v>
      </c>
      <c r="J13" s="17" t="s">
        <v>2161</v>
      </c>
      <c r="K13" s="17" t="s">
        <v>2162</v>
      </c>
      <c r="L13" s="17" t="s">
        <v>2163</v>
      </c>
      <c r="M13" s="17" t="s">
        <v>2164</v>
      </c>
      <c r="N13" s="17" t="s">
        <v>2165</v>
      </c>
      <c r="O13" s="17" t="s">
        <v>2166</v>
      </c>
      <c r="P13" s="17" t="s">
        <v>2167</v>
      </c>
      <c r="Q13" s="17" t="s">
        <v>2168</v>
      </c>
      <c r="R13" s="16" t="s">
        <v>65</v>
      </c>
      <c r="S13" s="16"/>
      <c r="T13" s="19" t="s">
        <v>2169</v>
      </c>
      <c r="U13" s="19" t="s">
        <v>67</v>
      </c>
    </row>
    <row r="14" customFormat="false" ht="96" hidden="false" customHeight="true" outlineLevel="0" collapsed="false">
      <c r="A14" s="16" t="n">
        <v>10</v>
      </c>
      <c r="B14" s="16" t="s">
        <v>2170</v>
      </c>
      <c r="C14" s="17" t="s">
        <v>2171</v>
      </c>
      <c r="D14" s="17" t="s">
        <v>2172</v>
      </c>
      <c r="E14" s="16" t="n">
        <v>2018</v>
      </c>
      <c r="F14" s="17" t="s">
        <v>2173</v>
      </c>
      <c r="G14" s="16" t="s">
        <v>1164</v>
      </c>
      <c r="H14" s="24" t="s">
        <v>15</v>
      </c>
      <c r="I14" s="17" t="s">
        <v>592</v>
      </c>
      <c r="J14" s="17" t="s">
        <v>2174</v>
      </c>
      <c r="K14" s="17" t="s">
        <v>2175</v>
      </c>
      <c r="L14" s="17" t="s">
        <v>2176</v>
      </c>
      <c r="M14" s="17" t="s">
        <v>2177</v>
      </c>
      <c r="N14" s="17" t="s">
        <v>2178</v>
      </c>
      <c r="O14" s="17" t="s">
        <v>2179</v>
      </c>
      <c r="P14" s="17" t="s">
        <v>2180</v>
      </c>
      <c r="Q14" s="17" t="s">
        <v>2181</v>
      </c>
      <c r="R14" s="16" t="s">
        <v>103</v>
      </c>
      <c r="S14" s="19" t="s">
        <v>2182</v>
      </c>
      <c r="T14" s="19" t="s">
        <v>2183</v>
      </c>
      <c r="U14" s="19" t="s">
        <v>67</v>
      </c>
    </row>
    <row r="15" customFormat="false" ht="96" hidden="false" customHeight="true" outlineLevel="0" collapsed="false">
      <c r="A15" s="16" t="n">
        <v>11</v>
      </c>
      <c r="B15" s="16" t="s">
        <v>2184</v>
      </c>
      <c r="C15" s="17" t="s">
        <v>2185</v>
      </c>
      <c r="D15" s="17" t="s">
        <v>2186</v>
      </c>
      <c r="E15" s="16" t="n">
        <v>2018</v>
      </c>
      <c r="F15" s="17" t="s">
        <v>2061</v>
      </c>
      <c r="G15" s="16" t="s">
        <v>1164</v>
      </c>
      <c r="H15" s="26" t="s">
        <v>17</v>
      </c>
      <c r="I15" s="17" t="s">
        <v>17</v>
      </c>
      <c r="J15" s="17" t="s">
        <v>2187</v>
      </c>
      <c r="K15" s="17" t="s">
        <v>2188</v>
      </c>
      <c r="L15" s="17" t="s">
        <v>2189</v>
      </c>
      <c r="M15" s="17" t="s">
        <v>2190</v>
      </c>
      <c r="N15" s="17" t="s">
        <v>2191</v>
      </c>
      <c r="O15" s="17" t="s">
        <v>2007</v>
      </c>
      <c r="P15" s="17" t="s">
        <v>2192</v>
      </c>
      <c r="Q15" s="17" t="s">
        <v>2193</v>
      </c>
      <c r="R15" s="16" t="s">
        <v>65</v>
      </c>
      <c r="S15" s="16"/>
      <c r="T15" s="19" t="s">
        <v>2194</v>
      </c>
      <c r="U15" s="19" t="s">
        <v>67</v>
      </c>
    </row>
    <row r="16" customFormat="false" ht="96" hidden="false" customHeight="true" outlineLevel="0" collapsed="false">
      <c r="A16" s="16" t="n">
        <v>12</v>
      </c>
      <c r="B16" s="16" t="s">
        <v>2195</v>
      </c>
      <c r="C16" s="17" t="s">
        <v>2196</v>
      </c>
      <c r="D16" s="17" t="s">
        <v>2197</v>
      </c>
      <c r="E16" s="16" t="n">
        <v>2018</v>
      </c>
      <c r="F16" s="17" t="s">
        <v>350</v>
      </c>
      <c r="G16" s="16" t="s">
        <v>199</v>
      </c>
      <c r="H16" s="25" t="s">
        <v>5</v>
      </c>
      <c r="I16" s="17" t="s">
        <v>811</v>
      </c>
      <c r="J16" s="17" t="s">
        <v>2198</v>
      </c>
      <c r="K16" s="17" t="s">
        <v>2199</v>
      </c>
      <c r="L16" s="17" t="s">
        <v>2200</v>
      </c>
      <c r="M16" s="17" t="s">
        <v>2201</v>
      </c>
      <c r="N16" s="17" t="s">
        <v>2202</v>
      </c>
      <c r="O16" s="17" t="s">
        <v>2203</v>
      </c>
      <c r="P16" s="17" t="s">
        <v>2204</v>
      </c>
      <c r="Q16" s="17" t="s">
        <v>2205</v>
      </c>
      <c r="R16" s="16" t="s">
        <v>65</v>
      </c>
      <c r="S16" s="16"/>
      <c r="T16" s="19" t="s">
        <v>2206</v>
      </c>
      <c r="U16" s="19" t="s">
        <v>67</v>
      </c>
    </row>
    <row r="17" customFormat="false" ht="96" hidden="false" customHeight="true" outlineLevel="0" collapsed="false">
      <c r="A17" s="16" t="n">
        <v>13</v>
      </c>
      <c r="B17" s="16" t="s">
        <v>2207</v>
      </c>
      <c r="C17" s="17" t="s">
        <v>2208</v>
      </c>
      <c r="D17" s="17" t="s">
        <v>2209</v>
      </c>
      <c r="E17" s="16" t="n">
        <v>2018</v>
      </c>
      <c r="F17" s="17" t="s">
        <v>2210</v>
      </c>
      <c r="G17" s="16" t="s">
        <v>84</v>
      </c>
      <c r="H17" s="25" t="s">
        <v>5</v>
      </c>
      <c r="I17" s="17" t="s">
        <v>811</v>
      </c>
      <c r="J17" s="17" t="s">
        <v>2211</v>
      </c>
      <c r="K17" s="17" t="s">
        <v>2212</v>
      </c>
      <c r="L17" s="17" t="s">
        <v>2213</v>
      </c>
      <c r="M17" s="17" t="s">
        <v>2214</v>
      </c>
      <c r="N17" s="17" t="s">
        <v>2215</v>
      </c>
      <c r="O17" s="17" t="s">
        <v>2216</v>
      </c>
      <c r="P17" s="17" t="s">
        <v>2217</v>
      </c>
      <c r="Q17" s="17" t="s">
        <v>2218</v>
      </c>
      <c r="R17" s="16" t="s">
        <v>65</v>
      </c>
      <c r="S17" s="16"/>
      <c r="T17" s="19" t="s">
        <v>2219</v>
      </c>
      <c r="U17" s="19" t="s">
        <v>67</v>
      </c>
    </row>
  </sheetData>
  <autoFilter ref="A4:U17"/>
  <hyperlinks>
    <hyperlink ref="T5" r:id="rId1" display="https://arxiv.org/abs/1804.04779"/>
    <hyperlink ref="U5" r:id="rId2" display="Search"/>
    <hyperlink ref="T6" r:id="rId3" display="https://arxiv.org/abs/1802.06739"/>
    <hyperlink ref="U6" r:id="rId4" display="Search"/>
    <hyperlink ref="T7" r:id="rId5" display="https://doi.org/10.1109/CVPRW.2018.00087"/>
    <hyperlink ref="U7" r:id="rId6" display="Search"/>
    <hyperlink ref="T8" r:id="rId7" display="https://proceedings.mlr.press/v81/buolamwini18a.html"/>
    <hyperlink ref="U8" r:id="rId8" display="Search"/>
    <hyperlink ref="T9" r:id="rId9" display="https://doi.org/10.1109/TIFS.2017.2788000"/>
    <hyperlink ref="U9" r:id="rId10" display="Search"/>
    <hyperlink ref="T10" r:id="rId11" display="https://doi.org/10.1007/978-3-319-95729-6_10"/>
    <hyperlink ref="U10" r:id="rId12" display="Search"/>
    <hyperlink ref="T11" r:id="rId13" display="https://arxiv.org/abs/1803.04683"/>
    <hyperlink ref="U11" r:id="rId14" display="Search"/>
    <hyperlink ref="T12" r:id="rId15" display="https://arxiv.org/abs/1803.11556"/>
    <hyperlink ref="U12" r:id="rId16" display="Search"/>
    <hyperlink ref="T13" r:id="rId17" display="https://arxiv.org/abs/1711.09001"/>
    <hyperlink ref="U13" r:id="rId18" display="Search"/>
    <hyperlink ref="S14" r:id="rId19" display="https://github.com/human-analysis/secure-face-matching"/>
    <hyperlink ref="T14" r:id="rId20" display="https://arxiv.org/abs/1805.00577"/>
    <hyperlink ref="U14" r:id="rId21" display="Search"/>
    <hyperlink ref="T15" r:id="rId22" display="https://arxiv.org/abs/1712.00321"/>
    <hyperlink ref="U15" r:id="rId23" display="Search"/>
    <hyperlink ref="T16" r:id="rId24" display="https://arxiv.org/abs/1807.08379"/>
    <hyperlink ref="U16" r:id="rId25" display="Search"/>
    <hyperlink ref="T17" r:id="rId26" display="https://doi.org/10.3390/e20010060"/>
    <hyperlink ref="U17" r:id="rId2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2683</v>
      </c>
    </row>
    <row r="2" customFormat="false" ht="15" hidden="false" customHeight="false" outlineLevel="0" collapsed="false">
      <c r="A2" s="14" t="s">
        <v>2700</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1928</v>
      </c>
      <c r="C5" s="17" t="s">
        <v>1929</v>
      </c>
      <c r="D5" s="17" t="s">
        <v>1930</v>
      </c>
      <c r="E5" s="16" t="n">
        <v>2019</v>
      </c>
      <c r="F5" s="17" t="s">
        <v>1931</v>
      </c>
      <c r="G5" s="16" t="s">
        <v>446</v>
      </c>
      <c r="H5" s="21" t="s">
        <v>11</v>
      </c>
      <c r="I5" s="17" t="s">
        <v>125</v>
      </c>
      <c r="J5" s="17" t="s">
        <v>1932</v>
      </c>
      <c r="K5" s="17" t="s">
        <v>1933</v>
      </c>
      <c r="L5" s="17" t="s">
        <v>1934</v>
      </c>
      <c r="M5" s="17" t="s">
        <v>1935</v>
      </c>
      <c r="N5" s="17" t="s">
        <v>1936</v>
      </c>
      <c r="O5" s="17" t="s">
        <v>1937</v>
      </c>
      <c r="P5" s="17" t="s">
        <v>1938</v>
      </c>
      <c r="Q5" s="17" t="s">
        <v>1939</v>
      </c>
      <c r="R5" s="16" t="s">
        <v>65</v>
      </c>
      <c r="S5" s="16"/>
      <c r="T5" s="19" t="s">
        <v>1940</v>
      </c>
      <c r="U5" s="19" t="s">
        <v>67</v>
      </c>
    </row>
    <row r="6" customFormat="false" ht="96" hidden="false" customHeight="true" outlineLevel="0" collapsed="false">
      <c r="A6" s="16" t="n">
        <v>2</v>
      </c>
      <c r="B6" s="16" t="s">
        <v>1941</v>
      </c>
      <c r="C6" s="17" t="s">
        <v>1942</v>
      </c>
      <c r="D6" s="17" t="s">
        <v>1943</v>
      </c>
      <c r="E6" s="16" t="n">
        <v>2019</v>
      </c>
      <c r="F6" s="17" t="s">
        <v>1944</v>
      </c>
      <c r="G6" s="16" t="s">
        <v>148</v>
      </c>
      <c r="H6" s="20" t="s">
        <v>25</v>
      </c>
      <c r="I6" s="17" t="s">
        <v>72</v>
      </c>
      <c r="J6" s="17" t="s">
        <v>1945</v>
      </c>
      <c r="K6" s="17" t="s">
        <v>1946</v>
      </c>
      <c r="L6" s="17" t="s">
        <v>1947</v>
      </c>
      <c r="M6" s="17" t="s">
        <v>1948</v>
      </c>
      <c r="N6" s="17" t="s">
        <v>76</v>
      </c>
      <c r="O6" s="17" t="s">
        <v>76</v>
      </c>
      <c r="P6" s="17" t="s">
        <v>1949</v>
      </c>
      <c r="Q6" s="17" t="s">
        <v>1950</v>
      </c>
      <c r="R6" s="16" t="s">
        <v>65</v>
      </c>
      <c r="S6" s="16"/>
      <c r="T6" s="19" t="s">
        <v>1951</v>
      </c>
      <c r="U6" s="19" t="s">
        <v>67</v>
      </c>
    </row>
    <row r="7" customFormat="false" ht="96" hidden="false" customHeight="true" outlineLevel="0" collapsed="false">
      <c r="A7" s="16" t="n">
        <v>3</v>
      </c>
      <c r="B7" s="16" t="s">
        <v>1952</v>
      </c>
      <c r="C7" s="17" t="s">
        <v>1953</v>
      </c>
      <c r="D7" s="17" t="s">
        <v>1954</v>
      </c>
      <c r="E7" s="16" t="n">
        <v>2019</v>
      </c>
      <c r="F7" s="17" t="s">
        <v>237</v>
      </c>
      <c r="G7" s="16" t="s">
        <v>199</v>
      </c>
      <c r="H7" s="22" t="s">
        <v>9</v>
      </c>
      <c r="I7" s="17" t="s">
        <v>223</v>
      </c>
      <c r="J7" s="17" t="s">
        <v>1222</v>
      </c>
      <c r="K7" s="17" t="s">
        <v>1955</v>
      </c>
      <c r="L7" s="17" t="s">
        <v>1956</v>
      </c>
      <c r="M7" s="17" t="s">
        <v>1957</v>
      </c>
      <c r="N7" s="17" t="s">
        <v>1958</v>
      </c>
      <c r="O7" s="17" t="s">
        <v>1959</v>
      </c>
      <c r="P7" s="17" t="s">
        <v>1960</v>
      </c>
      <c r="Q7" s="17" t="s">
        <v>1961</v>
      </c>
      <c r="R7" s="16" t="s">
        <v>65</v>
      </c>
      <c r="S7" s="16"/>
      <c r="T7" s="19" t="s">
        <v>1962</v>
      </c>
      <c r="U7" s="19" t="s">
        <v>67</v>
      </c>
    </row>
    <row r="8" customFormat="false" ht="96" hidden="false" customHeight="true" outlineLevel="0" collapsed="false">
      <c r="A8" s="16" t="n">
        <v>4</v>
      </c>
      <c r="B8" s="16" t="s">
        <v>1963</v>
      </c>
      <c r="C8" s="17" t="s">
        <v>1964</v>
      </c>
      <c r="D8" s="17" t="s">
        <v>1965</v>
      </c>
      <c r="E8" s="16" t="n">
        <v>2019</v>
      </c>
      <c r="F8" s="17" t="s">
        <v>1966</v>
      </c>
      <c r="G8" s="16" t="s">
        <v>199</v>
      </c>
      <c r="H8" s="22" t="s">
        <v>9</v>
      </c>
      <c r="I8" s="17" t="s">
        <v>223</v>
      </c>
      <c r="J8" s="17" t="s">
        <v>1967</v>
      </c>
      <c r="K8" s="17" t="s">
        <v>1968</v>
      </c>
      <c r="L8" s="17" t="s">
        <v>1969</v>
      </c>
      <c r="M8" s="17" t="s">
        <v>1970</v>
      </c>
      <c r="N8" s="17" t="s">
        <v>1971</v>
      </c>
      <c r="O8" s="17" t="s">
        <v>1972</v>
      </c>
      <c r="P8" s="17" t="s">
        <v>1973</v>
      </c>
      <c r="Q8" s="17" t="s">
        <v>1974</v>
      </c>
      <c r="R8" s="16" t="s">
        <v>103</v>
      </c>
      <c r="S8" s="19" t="s">
        <v>1975</v>
      </c>
      <c r="T8" s="19" t="s">
        <v>1976</v>
      </c>
      <c r="U8" s="19" t="s">
        <v>67</v>
      </c>
    </row>
    <row r="9" customFormat="false" ht="96" hidden="false" customHeight="true" outlineLevel="0" collapsed="false">
      <c r="A9" s="16" t="n">
        <v>5</v>
      </c>
      <c r="B9" s="16" t="s">
        <v>1977</v>
      </c>
      <c r="C9" s="17" t="s">
        <v>1978</v>
      </c>
      <c r="D9" s="17" t="s">
        <v>1220</v>
      </c>
      <c r="E9" s="16" t="n">
        <v>2019</v>
      </c>
      <c r="F9" s="17" t="s">
        <v>1979</v>
      </c>
      <c r="G9" s="16" t="s">
        <v>446</v>
      </c>
      <c r="H9" s="25" t="s">
        <v>7</v>
      </c>
      <c r="I9" s="17" t="s">
        <v>811</v>
      </c>
      <c r="J9" s="17" t="s">
        <v>1980</v>
      </c>
      <c r="K9" s="17" t="s">
        <v>1981</v>
      </c>
      <c r="L9" s="17" t="s">
        <v>1982</v>
      </c>
      <c r="M9" s="17" t="s">
        <v>1983</v>
      </c>
      <c r="N9" s="17" t="s">
        <v>1984</v>
      </c>
      <c r="O9" s="17" t="s">
        <v>1592</v>
      </c>
      <c r="P9" s="17" t="s">
        <v>1985</v>
      </c>
      <c r="Q9" s="17" t="s">
        <v>1986</v>
      </c>
      <c r="R9" s="16" t="s">
        <v>65</v>
      </c>
      <c r="S9" s="16"/>
      <c r="T9" s="19" t="s">
        <v>1987</v>
      </c>
      <c r="U9" s="19" t="s">
        <v>67</v>
      </c>
    </row>
    <row r="10" customFormat="false" ht="96" hidden="false" customHeight="true" outlineLevel="0" collapsed="false">
      <c r="A10" s="16" t="n">
        <v>6</v>
      </c>
      <c r="B10" s="16" t="s">
        <v>1988</v>
      </c>
      <c r="C10" s="17" t="s">
        <v>1989</v>
      </c>
      <c r="D10" s="17" t="s">
        <v>1990</v>
      </c>
      <c r="E10" s="16" t="n">
        <v>2019</v>
      </c>
      <c r="F10" s="17" t="s">
        <v>1991</v>
      </c>
      <c r="G10" s="16" t="s">
        <v>162</v>
      </c>
      <c r="H10" s="20" t="s">
        <v>25</v>
      </c>
      <c r="I10" s="17" t="s">
        <v>72</v>
      </c>
      <c r="J10" s="17" t="s">
        <v>1992</v>
      </c>
      <c r="K10" s="17" t="s">
        <v>1993</v>
      </c>
      <c r="L10" s="17" t="s">
        <v>1994</v>
      </c>
      <c r="M10" s="17" t="s">
        <v>1995</v>
      </c>
      <c r="N10" s="17" t="s">
        <v>1996</v>
      </c>
      <c r="O10" s="17" t="s">
        <v>76</v>
      </c>
      <c r="P10" s="17" t="s">
        <v>1997</v>
      </c>
      <c r="Q10" s="17" t="s">
        <v>1998</v>
      </c>
      <c r="R10" s="16" t="s">
        <v>65</v>
      </c>
      <c r="S10" s="16"/>
      <c r="T10" s="19" t="s">
        <v>1999</v>
      </c>
      <c r="U10" s="19" t="s">
        <v>67</v>
      </c>
    </row>
    <row r="11" customFormat="false" ht="96" hidden="false" customHeight="true" outlineLevel="0" collapsed="false">
      <c r="A11" s="16" t="n">
        <v>7</v>
      </c>
      <c r="B11" s="16" t="s">
        <v>2000</v>
      </c>
      <c r="C11" s="17" t="s">
        <v>2001</v>
      </c>
      <c r="D11" s="17" t="s">
        <v>1888</v>
      </c>
      <c r="E11" s="16" t="n">
        <v>2019</v>
      </c>
      <c r="F11" s="17" t="s">
        <v>1843</v>
      </c>
      <c r="G11" s="16" t="s">
        <v>84</v>
      </c>
      <c r="H11" s="26" t="s">
        <v>17</v>
      </c>
      <c r="I11" s="17" t="s">
        <v>17</v>
      </c>
      <c r="J11" s="17" t="s">
        <v>2002</v>
      </c>
      <c r="K11" s="17" t="s">
        <v>2003</v>
      </c>
      <c r="L11" s="17" t="s">
        <v>2004</v>
      </c>
      <c r="M11" s="17" t="s">
        <v>2005</v>
      </c>
      <c r="N11" s="17" t="s">
        <v>2006</v>
      </c>
      <c r="O11" s="17" t="s">
        <v>2007</v>
      </c>
      <c r="P11" s="17" t="s">
        <v>2008</v>
      </c>
      <c r="Q11" s="17" t="s">
        <v>2009</v>
      </c>
      <c r="R11" s="16" t="s">
        <v>65</v>
      </c>
      <c r="S11" s="16"/>
      <c r="T11" s="19" t="s">
        <v>2010</v>
      </c>
      <c r="U11" s="19" t="s">
        <v>67</v>
      </c>
    </row>
    <row r="12" customFormat="false" ht="96" hidden="false" customHeight="true" outlineLevel="0" collapsed="false">
      <c r="A12" s="16" t="n">
        <v>8</v>
      </c>
      <c r="B12" s="16" t="s">
        <v>2011</v>
      </c>
      <c r="C12" s="17" t="s">
        <v>2012</v>
      </c>
      <c r="D12" s="17" t="s">
        <v>2013</v>
      </c>
      <c r="E12" s="16" t="n">
        <v>2019</v>
      </c>
      <c r="F12" s="17" t="s">
        <v>661</v>
      </c>
      <c r="G12" s="16" t="s">
        <v>199</v>
      </c>
      <c r="H12" s="22" t="s">
        <v>9</v>
      </c>
      <c r="I12" s="17" t="s">
        <v>223</v>
      </c>
      <c r="J12" s="17" t="s">
        <v>2014</v>
      </c>
      <c r="K12" s="17" t="s">
        <v>2015</v>
      </c>
      <c r="L12" s="17" t="s">
        <v>2016</v>
      </c>
      <c r="M12" s="17" t="s">
        <v>2017</v>
      </c>
      <c r="N12" s="17" t="s">
        <v>2018</v>
      </c>
      <c r="O12" s="17" t="s">
        <v>2019</v>
      </c>
      <c r="P12" s="17" t="s">
        <v>2020</v>
      </c>
      <c r="Q12" s="17" t="s">
        <v>2021</v>
      </c>
      <c r="R12" s="16" t="s">
        <v>65</v>
      </c>
      <c r="S12" s="16"/>
      <c r="T12" s="19" t="s">
        <v>2022</v>
      </c>
      <c r="U12" s="19" t="s">
        <v>67</v>
      </c>
    </row>
    <row r="13" customFormat="false" ht="96" hidden="false" customHeight="true" outlineLevel="0" collapsed="false">
      <c r="A13" s="16" t="n">
        <v>9</v>
      </c>
      <c r="B13" s="16" t="s">
        <v>2023</v>
      </c>
      <c r="C13" s="17" t="s">
        <v>2024</v>
      </c>
      <c r="D13" s="17" t="s">
        <v>2025</v>
      </c>
      <c r="E13" s="16" t="n">
        <v>2019</v>
      </c>
      <c r="F13" s="17" t="s">
        <v>772</v>
      </c>
      <c r="G13" s="16" t="s">
        <v>84</v>
      </c>
      <c r="H13" s="18" t="s">
        <v>23</v>
      </c>
      <c r="I13" s="17" t="s">
        <v>23</v>
      </c>
      <c r="J13" s="17" t="s">
        <v>2026</v>
      </c>
      <c r="K13" s="17" t="s">
        <v>2027</v>
      </c>
      <c r="L13" s="17" t="s">
        <v>2028</v>
      </c>
      <c r="M13" s="17" t="s">
        <v>2029</v>
      </c>
      <c r="N13" s="17" t="s">
        <v>2030</v>
      </c>
      <c r="O13" s="17" t="s">
        <v>76</v>
      </c>
      <c r="P13" s="17" t="s">
        <v>2031</v>
      </c>
      <c r="Q13" s="17" t="s">
        <v>2032</v>
      </c>
      <c r="R13" s="16" t="s">
        <v>65</v>
      </c>
      <c r="S13" s="16"/>
      <c r="T13" s="19" t="s">
        <v>2033</v>
      </c>
      <c r="U13" s="19" t="s">
        <v>67</v>
      </c>
    </row>
    <row r="14" customFormat="false" ht="96" hidden="false" customHeight="true" outlineLevel="0" collapsed="false">
      <c r="A14" s="16" t="n">
        <v>10</v>
      </c>
      <c r="B14" s="16" t="s">
        <v>2034</v>
      </c>
      <c r="C14" s="17" t="s">
        <v>2035</v>
      </c>
      <c r="D14" s="17" t="s">
        <v>2036</v>
      </c>
      <c r="E14" s="16" t="n">
        <v>2019</v>
      </c>
      <c r="F14" s="17" t="s">
        <v>327</v>
      </c>
      <c r="G14" s="16" t="s">
        <v>148</v>
      </c>
      <c r="H14" s="25" t="s">
        <v>7</v>
      </c>
      <c r="I14" s="17" t="s">
        <v>811</v>
      </c>
      <c r="J14" s="17" t="s">
        <v>2037</v>
      </c>
      <c r="K14" s="17" t="s">
        <v>2038</v>
      </c>
      <c r="L14" s="17" t="s">
        <v>2039</v>
      </c>
      <c r="M14" s="17" t="s">
        <v>2040</v>
      </c>
      <c r="N14" s="17" t="s">
        <v>2041</v>
      </c>
      <c r="O14" s="17" t="s">
        <v>817</v>
      </c>
      <c r="P14" s="17" t="s">
        <v>2042</v>
      </c>
      <c r="Q14" s="17" t="s">
        <v>2043</v>
      </c>
      <c r="R14" s="16" t="s">
        <v>65</v>
      </c>
      <c r="S14" s="16"/>
      <c r="T14" s="19" t="s">
        <v>2044</v>
      </c>
      <c r="U14" s="19" t="s">
        <v>67</v>
      </c>
    </row>
    <row r="15" customFormat="false" ht="96" hidden="false" customHeight="true" outlineLevel="0" collapsed="false">
      <c r="A15" s="16" t="n">
        <v>11</v>
      </c>
      <c r="B15" s="16" t="s">
        <v>2045</v>
      </c>
      <c r="C15" s="17" t="s">
        <v>2046</v>
      </c>
      <c r="D15" s="17" t="s">
        <v>2047</v>
      </c>
      <c r="E15" s="16" t="n">
        <v>2019</v>
      </c>
      <c r="F15" s="17" t="s">
        <v>2048</v>
      </c>
      <c r="G15" s="16" t="s">
        <v>199</v>
      </c>
      <c r="H15" s="25" t="s">
        <v>7</v>
      </c>
      <c r="I15" s="17" t="s">
        <v>811</v>
      </c>
      <c r="J15" s="17" t="s">
        <v>2049</v>
      </c>
      <c r="K15" s="17" t="s">
        <v>2050</v>
      </c>
      <c r="L15" s="17" t="s">
        <v>2051</v>
      </c>
      <c r="M15" s="17" t="s">
        <v>2052</v>
      </c>
      <c r="N15" s="17" t="s">
        <v>2053</v>
      </c>
      <c r="O15" s="17" t="s">
        <v>2054</v>
      </c>
      <c r="P15" s="17" t="s">
        <v>2055</v>
      </c>
      <c r="Q15" s="17" t="s">
        <v>2056</v>
      </c>
      <c r="R15" s="16" t="s">
        <v>65</v>
      </c>
      <c r="S15" s="16"/>
      <c r="T15" s="19" t="s">
        <v>2057</v>
      </c>
      <c r="U15" s="19" t="s">
        <v>67</v>
      </c>
    </row>
    <row r="16" customFormat="false" ht="96" hidden="false" customHeight="true" outlineLevel="0" collapsed="false">
      <c r="A16" s="16" t="n">
        <v>12</v>
      </c>
      <c r="B16" s="16" t="s">
        <v>2058</v>
      </c>
      <c r="C16" s="17" t="s">
        <v>2059</v>
      </c>
      <c r="D16" s="17" t="s">
        <v>2060</v>
      </c>
      <c r="E16" s="16" t="n">
        <v>2019</v>
      </c>
      <c r="F16" s="17" t="s">
        <v>2061</v>
      </c>
      <c r="G16" s="16" t="s">
        <v>1164</v>
      </c>
      <c r="H16" s="26" t="s">
        <v>17</v>
      </c>
      <c r="I16" s="17" t="s">
        <v>17</v>
      </c>
      <c r="J16" s="17" t="s">
        <v>1844</v>
      </c>
      <c r="K16" s="17" t="s">
        <v>1845</v>
      </c>
      <c r="L16" s="17" t="s">
        <v>2062</v>
      </c>
      <c r="M16" s="17" t="s">
        <v>2063</v>
      </c>
      <c r="N16" s="17" t="s">
        <v>2064</v>
      </c>
      <c r="O16" s="17" t="s">
        <v>334</v>
      </c>
      <c r="P16" s="17" t="s">
        <v>2065</v>
      </c>
      <c r="Q16" s="17" t="s">
        <v>2066</v>
      </c>
      <c r="R16" s="16" t="s">
        <v>65</v>
      </c>
      <c r="S16" s="16"/>
      <c r="T16" s="19" t="s">
        <v>2067</v>
      </c>
      <c r="U16" s="19" t="s">
        <v>67</v>
      </c>
    </row>
  </sheetData>
  <autoFilter ref="A4:U16"/>
  <hyperlinks>
    <hyperlink ref="T5" r:id="rId1" display="https://arxiv.org/abs/1801.00349"/>
    <hyperlink ref="U5" r:id="rId2" display="Search"/>
    <hyperlink ref="T6" r:id="rId3" display="https://doi.org/10.1145/3306618.3314244"/>
    <hyperlink ref="U6" r:id="rId4" display="Search"/>
    <hyperlink ref="T7" r:id="rId5" display="https://arxiv.org/abs/1904.12620"/>
    <hyperlink ref="U7" r:id="rId6" display="Search"/>
    <hyperlink ref="S8" r:id="rId7" display="https://github.com/hukkelas/DeepPrivacy"/>
    <hyperlink ref="T8" r:id="rId8" display="https://arxiv.org/abs/1909.04538"/>
    <hyperlink ref="U8" r:id="rId9" display="Search"/>
    <hyperlink ref="T9" r:id="rId10" display="https://doi.org/10.1007/978-3-030-29726-8_15"/>
    <hyperlink ref="U9" r:id="rId11" display="Search"/>
    <hyperlink ref="T10" r:id="rId12" display="https://doi.org/10.6028/NIST.IR.8280"/>
    <hyperlink ref="U10" r:id="rId13" display="Search"/>
    <hyperlink ref="T11" r:id="rId14" display="https://doi.org/10.1109/ACCESS.2019.2924619"/>
    <hyperlink ref="U11" r:id="rId15" display="Search"/>
    <hyperlink ref="T12" r:id="rId16" display="https://arxiv.org/abs/1911.08348"/>
    <hyperlink ref="U12" r:id="rId17" display="Search"/>
    <hyperlink ref="T13" r:id="rId18" display="https://arxiv.org/abs/1703.00832"/>
    <hyperlink ref="U13" r:id="rId19" display="Search"/>
    <hyperlink ref="T14" r:id="rId20" display="https://openreview.net/forum?id=S1zk9iRqF7"/>
    <hyperlink ref="U14" r:id="rId21" display="Search"/>
    <hyperlink ref="T15" r:id="rId22" display="https://doi.org/10.1109/ICME.2019.00140"/>
    <hyperlink ref="U15" r:id="rId23" display="Search"/>
    <hyperlink ref="T16" r:id="rId24" display="https://doi.org/10.1109/ICB45695.2019.8987331"/>
    <hyperlink ref="U16" r:id="rId25"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2684</v>
      </c>
    </row>
    <row r="2" customFormat="false" ht="15" hidden="false" customHeight="false" outlineLevel="0" collapsed="false">
      <c r="A2" s="14" t="s">
        <v>2701</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1712</v>
      </c>
      <c r="C5" s="17" t="s">
        <v>1713</v>
      </c>
      <c r="D5" s="17" t="s">
        <v>1714</v>
      </c>
      <c r="E5" s="16" t="n">
        <v>2020</v>
      </c>
      <c r="F5" s="17" t="s">
        <v>1277</v>
      </c>
      <c r="G5" s="16" t="s">
        <v>1164</v>
      </c>
      <c r="H5" s="21" t="s">
        <v>11</v>
      </c>
      <c r="I5" s="17" t="s">
        <v>125</v>
      </c>
      <c r="J5" s="17" t="s">
        <v>1715</v>
      </c>
      <c r="K5" s="17" t="s">
        <v>1716</v>
      </c>
      <c r="L5" s="17" t="s">
        <v>1717</v>
      </c>
      <c r="M5" s="17" t="s">
        <v>1718</v>
      </c>
      <c r="N5" s="17" t="s">
        <v>1719</v>
      </c>
      <c r="O5" s="17" t="s">
        <v>1681</v>
      </c>
      <c r="P5" s="17" t="s">
        <v>1720</v>
      </c>
      <c r="Q5" s="17" t="s">
        <v>1721</v>
      </c>
      <c r="R5" s="16" t="s">
        <v>65</v>
      </c>
      <c r="S5" s="16"/>
      <c r="T5" s="19" t="s">
        <v>1722</v>
      </c>
      <c r="U5" s="19" t="s">
        <v>67</v>
      </c>
    </row>
    <row r="6" customFormat="false" ht="96" hidden="false" customHeight="true" outlineLevel="0" collapsed="false">
      <c r="A6" s="16" t="n">
        <v>2</v>
      </c>
      <c r="B6" s="16" t="s">
        <v>1723</v>
      </c>
      <c r="C6" s="17" t="s">
        <v>1724</v>
      </c>
      <c r="D6" s="17" t="s">
        <v>1725</v>
      </c>
      <c r="E6" s="16" t="n">
        <v>2020</v>
      </c>
      <c r="F6" s="17" t="s">
        <v>1726</v>
      </c>
      <c r="G6" s="16" t="s">
        <v>199</v>
      </c>
      <c r="H6" s="21" t="s">
        <v>11</v>
      </c>
      <c r="I6" s="17" t="s">
        <v>125</v>
      </c>
      <c r="J6" s="17" t="s">
        <v>1727</v>
      </c>
      <c r="K6" s="17" t="s">
        <v>1728</v>
      </c>
      <c r="L6" s="17" t="s">
        <v>1729</v>
      </c>
      <c r="M6" s="17" t="s">
        <v>1730</v>
      </c>
      <c r="N6" s="17" t="s">
        <v>1731</v>
      </c>
      <c r="O6" s="17" t="s">
        <v>1732</v>
      </c>
      <c r="P6" s="17" t="s">
        <v>1733</v>
      </c>
      <c r="Q6" s="17" t="s">
        <v>1734</v>
      </c>
      <c r="R6" s="16" t="s">
        <v>103</v>
      </c>
      <c r="S6" s="19" t="s">
        <v>1735</v>
      </c>
      <c r="T6" s="19" t="s">
        <v>1736</v>
      </c>
      <c r="U6" s="19" t="s">
        <v>67</v>
      </c>
    </row>
    <row r="7" customFormat="false" ht="96" hidden="false" customHeight="true" outlineLevel="0" collapsed="false">
      <c r="A7" s="16" t="n">
        <v>3</v>
      </c>
      <c r="B7" s="16" t="s">
        <v>1737</v>
      </c>
      <c r="C7" s="17" t="s">
        <v>1738</v>
      </c>
      <c r="D7" s="17" t="s">
        <v>1739</v>
      </c>
      <c r="E7" s="16" t="n">
        <v>2020</v>
      </c>
      <c r="F7" s="17" t="s">
        <v>209</v>
      </c>
      <c r="G7" s="16" t="s">
        <v>199</v>
      </c>
      <c r="H7" s="22" t="s">
        <v>9</v>
      </c>
      <c r="I7" s="17" t="s">
        <v>223</v>
      </c>
      <c r="J7" s="17" t="s">
        <v>1740</v>
      </c>
      <c r="K7" s="17" t="s">
        <v>1741</v>
      </c>
      <c r="L7" s="17" t="s">
        <v>1742</v>
      </c>
      <c r="M7" s="17" t="s">
        <v>1743</v>
      </c>
      <c r="N7" s="17" t="s">
        <v>1744</v>
      </c>
      <c r="O7" s="17" t="s">
        <v>1745</v>
      </c>
      <c r="P7" s="17" t="s">
        <v>1746</v>
      </c>
      <c r="Q7" s="17" t="s">
        <v>1747</v>
      </c>
      <c r="R7" s="16" t="s">
        <v>103</v>
      </c>
      <c r="S7" s="19" t="s">
        <v>1748</v>
      </c>
      <c r="T7" s="19" t="s">
        <v>1749</v>
      </c>
      <c r="U7" s="19" t="s">
        <v>67</v>
      </c>
    </row>
    <row r="8" customFormat="false" ht="96" hidden="false" customHeight="true" outlineLevel="0" collapsed="false">
      <c r="A8" s="16" t="n">
        <v>4</v>
      </c>
      <c r="B8" s="16" t="s">
        <v>1750</v>
      </c>
      <c r="C8" s="17" t="s">
        <v>1751</v>
      </c>
      <c r="D8" s="17" t="s">
        <v>1752</v>
      </c>
      <c r="E8" s="16" t="n">
        <v>2020</v>
      </c>
      <c r="F8" s="17" t="s">
        <v>1753</v>
      </c>
      <c r="G8" s="16" t="s">
        <v>1164</v>
      </c>
      <c r="H8" s="24" t="s">
        <v>15</v>
      </c>
      <c r="I8" s="17" t="s">
        <v>592</v>
      </c>
      <c r="J8" s="17" t="s">
        <v>1209</v>
      </c>
      <c r="K8" s="17" t="s">
        <v>1754</v>
      </c>
      <c r="L8" s="17" t="s">
        <v>1755</v>
      </c>
      <c r="M8" s="17" t="s">
        <v>1756</v>
      </c>
      <c r="N8" s="17" t="s">
        <v>1757</v>
      </c>
      <c r="O8" s="17" t="s">
        <v>1758</v>
      </c>
      <c r="P8" s="17" t="s">
        <v>1759</v>
      </c>
      <c r="Q8" s="17" t="s">
        <v>1760</v>
      </c>
      <c r="R8" s="16" t="s">
        <v>65</v>
      </c>
      <c r="S8" s="16"/>
      <c r="T8" s="19" t="s">
        <v>1761</v>
      </c>
      <c r="U8" s="19" t="s">
        <v>67</v>
      </c>
    </row>
    <row r="9" customFormat="false" ht="96" hidden="false" customHeight="true" outlineLevel="0" collapsed="false">
      <c r="A9" s="16" t="n">
        <v>5</v>
      </c>
      <c r="B9" s="16" t="s">
        <v>1762</v>
      </c>
      <c r="C9" s="17" t="s">
        <v>1763</v>
      </c>
      <c r="D9" s="17" t="s">
        <v>1764</v>
      </c>
      <c r="E9" s="16" t="n">
        <v>2020</v>
      </c>
      <c r="F9" s="17" t="s">
        <v>209</v>
      </c>
      <c r="G9" s="16" t="s">
        <v>199</v>
      </c>
      <c r="H9" s="23" t="s">
        <v>21</v>
      </c>
      <c r="I9" s="17" t="s">
        <v>328</v>
      </c>
      <c r="J9" s="17" t="s">
        <v>1765</v>
      </c>
      <c r="K9" s="17" t="s">
        <v>1074</v>
      </c>
      <c r="L9" s="17" t="s">
        <v>1766</v>
      </c>
      <c r="M9" s="17" t="s">
        <v>1767</v>
      </c>
      <c r="N9" s="17" t="s">
        <v>1768</v>
      </c>
      <c r="O9" s="17" t="s">
        <v>1769</v>
      </c>
      <c r="P9" s="17" t="s">
        <v>1770</v>
      </c>
      <c r="Q9" s="17" t="s">
        <v>1771</v>
      </c>
      <c r="R9" s="16" t="s">
        <v>103</v>
      </c>
      <c r="S9" s="19" t="s">
        <v>1772</v>
      </c>
      <c r="T9" s="19" t="s">
        <v>1773</v>
      </c>
      <c r="U9" s="19" t="s">
        <v>67</v>
      </c>
    </row>
    <row r="10" customFormat="false" ht="96" hidden="false" customHeight="true" outlineLevel="0" collapsed="false">
      <c r="A10" s="16" t="n">
        <v>6</v>
      </c>
      <c r="B10" s="16" t="s">
        <v>1774</v>
      </c>
      <c r="C10" s="17" t="s">
        <v>1775</v>
      </c>
      <c r="D10" s="17" t="s">
        <v>1776</v>
      </c>
      <c r="E10" s="16" t="n">
        <v>2020</v>
      </c>
      <c r="F10" s="17" t="s">
        <v>1777</v>
      </c>
      <c r="G10" s="16" t="s">
        <v>162</v>
      </c>
      <c r="H10" s="20" t="s">
        <v>25</v>
      </c>
      <c r="I10" s="17" t="s">
        <v>72</v>
      </c>
      <c r="J10" s="17" t="s">
        <v>1109</v>
      </c>
      <c r="K10" s="17" t="s">
        <v>1109</v>
      </c>
      <c r="L10" s="17" t="s">
        <v>1778</v>
      </c>
      <c r="M10" s="17" t="s">
        <v>1779</v>
      </c>
      <c r="N10" s="17" t="s">
        <v>1780</v>
      </c>
      <c r="O10" s="17" t="s">
        <v>76</v>
      </c>
      <c r="P10" s="17" t="s">
        <v>1781</v>
      </c>
      <c r="Q10" s="17" t="s">
        <v>1782</v>
      </c>
      <c r="R10" s="16" t="s">
        <v>65</v>
      </c>
      <c r="S10" s="16"/>
      <c r="T10" s="19" t="s">
        <v>1783</v>
      </c>
      <c r="U10" s="19" t="s">
        <v>67</v>
      </c>
    </row>
    <row r="11" customFormat="false" ht="96" hidden="false" customHeight="true" outlineLevel="0" collapsed="false">
      <c r="A11" s="16" t="n">
        <v>7</v>
      </c>
      <c r="B11" s="16" t="s">
        <v>1784</v>
      </c>
      <c r="C11" s="17" t="s">
        <v>1785</v>
      </c>
      <c r="D11" s="17" t="s">
        <v>1786</v>
      </c>
      <c r="E11" s="16" t="n">
        <v>2020</v>
      </c>
      <c r="F11" s="17" t="s">
        <v>883</v>
      </c>
      <c r="G11" s="16" t="s">
        <v>446</v>
      </c>
      <c r="H11" s="21" t="s">
        <v>11</v>
      </c>
      <c r="I11" s="17" t="s">
        <v>125</v>
      </c>
      <c r="J11" s="17" t="s">
        <v>1787</v>
      </c>
      <c r="K11" s="17" t="s">
        <v>1788</v>
      </c>
      <c r="L11" s="17" t="s">
        <v>1789</v>
      </c>
      <c r="M11" s="17" t="s">
        <v>1790</v>
      </c>
      <c r="N11" s="17" t="s">
        <v>1791</v>
      </c>
      <c r="O11" s="17" t="s">
        <v>1792</v>
      </c>
      <c r="P11" s="17" t="s">
        <v>1793</v>
      </c>
      <c r="Q11" s="17" t="s">
        <v>1794</v>
      </c>
      <c r="R11" s="16" t="s">
        <v>103</v>
      </c>
      <c r="S11" s="19" t="s">
        <v>1795</v>
      </c>
      <c r="T11" s="19" t="s">
        <v>1796</v>
      </c>
      <c r="U11" s="19" t="s">
        <v>67</v>
      </c>
    </row>
    <row r="12" customFormat="false" ht="96" hidden="false" customHeight="true" outlineLevel="0" collapsed="false">
      <c r="A12" s="16" t="n">
        <v>8</v>
      </c>
      <c r="B12" s="16" t="s">
        <v>1797</v>
      </c>
      <c r="C12" s="17" t="s">
        <v>1798</v>
      </c>
      <c r="D12" s="17" t="s">
        <v>1764</v>
      </c>
      <c r="E12" s="16" t="n">
        <v>2020</v>
      </c>
      <c r="F12" s="17" t="s">
        <v>350</v>
      </c>
      <c r="G12" s="16" t="s">
        <v>199</v>
      </c>
      <c r="H12" s="23" t="s">
        <v>21</v>
      </c>
      <c r="I12" s="17" t="s">
        <v>328</v>
      </c>
      <c r="J12" s="17" t="s">
        <v>1799</v>
      </c>
      <c r="K12" s="17" t="s">
        <v>1074</v>
      </c>
      <c r="L12" s="17" t="s">
        <v>1800</v>
      </c>
      <c r="M12" s="17" t="s">
        <v>1801</v>
      </c>
      <c r="N12" s="17" t="s">
        <v>1802</v>
      </c>
      <c r="O12" s="17" t="s">
        <v>1078</v>
      </c>
      <c r="P12" s="17" t="s">
        <v>1803</v>
      </c>
      <c r="Q12" s="17" t="s">
        <v>1804</v>
      </c>
      <c r="R12" s="16" t="s">
        <v>103</v>
      </c>
      <c r="S12" s="19" t="s">
        <v>1772</v>
      </c>
      <c r="T12" s="19" t="s">
        <v>1805</v>
      </c>
      <c r="U12" s="19" t="s">
        <v>67</v>
      </c>
    </row>
    <row r="13" customFormat="false" ht="96" hidden="false" customHeight="true" outlineLevel="0" collapsed="false">
      <c r="A13" s="16" t="n">
        <v>9</v>
      </c>
      <c r="B13" s="16" t="s">
        <v>1806</v>
      </c>
      <c r="C13" s="17" t="s">
        <v>1807</v>
      </c>
      <c r="D13" s="17" t="s">
        <v>1808</v>
      </c>
      <c r="E13" s="16" t="n">
        <v>2020</v>
      </c>
      <c r="F13" s="17" t="s">
        <v>675</v>
      </c>
      <c r="G13" s="16" t="s">
        <v>148</v>
      </c>
      <c r="H13" s="23" t="s">
        <v>19</v>
      </c>
      <c r="I13" s="17" t="s">
        <v>328</v>
      </c>
      <c r="J13" s="17" t="s">
        <v>1809</v>
      </c>
      <c r="K13" s="17" t="s">
        <v>724</v>
      </c>
      <c r="L13" s="17" t="s">
        <v>1810</v>
      </c>
      <c r="M13" s="17" t="s">
        <v>1811</v>
      </c>
      <c r="N13" s="17" t="s">
        <v>1812</v>
      </c>
      <c r="O13" s="17" t="s">
        <v>1813</v>
      </c>
      <c r="P13" s="17" t="s">
        <v>1814</v>
      </c>
      <c r="Q13" s="17" t="s">
        <v>1815</v>
      </c>
      <c r="R13" s="16" t="s">
        <v>103</v>
      </c>
      <c r="S13" s="19" t="s">
        <v>1816</v>
      </c>
      <c r="T13" s="19" t="s">
        <v>1817</v>
      </c>
      <c r="U13" s="19" t="s">
        <v>67</v>
      </c>
    </row>
    <row r="14" customFormat="false" ht="96" hidden="false" customHeight="true" outlineLevel="0" collapsed="false">
      <c r="A14" s="16" t="n">
        <v>10</v>
      </c>
      <c r="B14" s="16" t="s">
        <v>1818</v>
      </c>
      <c r="C14" s="17" t="s">
        <v>1819</v>
      </c>
      <c r="D14" s="17" t="s">
        <v>1820</v>
      </c>
      <c r="E14" s="16" t="n">
        <v>2020</v>
      </c>
      <c r="F14" s="17" t="s">
        <v>1821</v>
      </c>
      <c r="G14" s="16" t="s">
        <v>1164</v>
      </c>
      <c r="H14" s="26" t="s">
        <v>17</v>
      </c>
      <c r="I14" s="17" t="s">
        <v>17</v>
      </c>
      <c r="J14" s="17" t="s">
        <v>447</v>
      </c>
      <c r="K14" s="17" t="s">
        <v>1822</v>
      </c>
      <c r="L14" s="17" t="s">
        <v>1823</v>
      </c>
      <c r="M14" s="17" t="s">
        <v>1824</v>
      </c>
      <c r="N14" s="17" t="s">
        <v>1825</v>
      </c>
      <c r="O14" s="17" t="s">
        <v>979</v>
      </c>
      <c r="P14" s="17" t="s">
        <v>1826</v>
      </c>
      <c r="Q14" s="17" t="s">
        <v>1827</v>
      </c>
      <c r="R14" s="16" t="s">
        <v>65</v>
      </c>
      <c r="S14" s="16"/>
      <c r="T14" s="19" t="s">
        <v>1828</v>
      </c>
      <c r="U14" s="19" t="s">
        <v>67</v>
      </c>
    </row>
    <row r="15" customFormat="false" ht="96" hidden="false" customHeight="true" outlineLevel="0" collapsed="false">
      <c r="A15" s="16" t="n">
        <v>11</v>
      </c>
      <c r="B15" s="16" t="s">
        <v>1829</v>
      </c>
      <c r="C15" s="17" t="s">
        <v>1830</v>
      </c>
      <c r="D15" s="17" t="s">
        <v>1831</v>
      </c>
      <c r="E15" s="16" t="n">
        <v>2020</v>
      </c>
      <c r="F15" s="17" t="s">
        <v>1832</v>
      </c>
      <c r="G15" s="16" t="s">
        <v>162</v>
      </c>
      <c r="H15" s="20" t="s">
        <v>25</v>
      </c>
      <c r="I15" s="17" t="s">
        <v>72</v>
      </c>
      <c r="J15" s="17" t="s">
        <v>1833</v>
      </c>
      <c r="K15" s="17" t="s">
        <v>1834</v>
      </c>
      <c r="L15" s="17" t="s">
        <v>1835</v>
      </c>
      <c r="M15" s="17" t="s">
        <v>1836</v>
      </c>
      <c r="N15" s="17" t="s">
        <v>76</v>
      </c>
      <c r="O15" s="17" t="s">
        <v>76</v>
      </c>
      <c r="P15" s="17" t="s">
        <v>1837</v>
      </c>
      <c r="Q15" s="17" t="s">
        <v>1838</v>
      </c>
      <c r="R15" s="16" t="s">
        <v>65</v>
      </c>
      <c r="S15" s="16"/>
      <c r="T15" s="19" t="s">
        <v>1839</v>
      </c>
      <c r="U15" s="19" t="s">
        <v>67</v>
      </c>
    </row>
    <row r="16" customFormat="false" ht="96" hidden="false" customHeight="true" outlineLevel="0" collapsed="false">
      <c r="A16" s="16" t="n">
        <v>12</v>
      </c>
      <c r="B16" s="16" t="s">
        <v>1840</v>
      </c>
      <c r="C16" s="17" t="s">
        <v>1841</v>
      </c>
      <c r="D16" s="17" t="s">
        <v>1842</v>
      </c>
      <c r="E16" s="16" t="n">
        <v>2020</v>
      </c>
      <c r="F16" s="17" t="s">
        <v>1843</v>
      </c>
      <c r="G16" s="16" t="s">
        <v>84</v>
      </c>
      <c r="H16" s="26" t="s">
        <v>17</v>
      </c>
      <c r="I16" s="17" t="s">
        <v>17</v>
      </c>
      <c r="J16" s="17" t="s">
        <v>1844</v>
      </c>
      <c r="K16" s="17" t="s">
        <v>1845</v>
      </c>
      <c r="L16" s="17" t="s">
        <v>1846</v>
      </c>
      <c r="M16" s="17" t="s">
        <v>1847</v>
      </c>
      <c r="N16" s="17" t="s">
        <v>1848</v>
      </c>
      <c r="O16" s="17" t="s">
        <v>334</v>
      </c>
      <c r="P16" s="17" t="s">
        <v>1849</v>
      </c>
      <c r="Q16" s="17" t="s">
        <v>1850</v>
      </c>
      <c r="R16" s="16" t="s">
        <v>65</v>
      </c>
      <c r="S16" s="16"/>
      <c r="T16" s="19" t="s">
        <v>1851</v>
      </c>
      <c r="U16" s="19" t="s">
        <v>67</v>
      </c>
    </row>
    <row r="17" customFormat="false" ht="96" hidden="false" customHeight="true" outlineLevel="0" collapsed="false">
      <c r="A17" s="16" t="n">
        <v>13</v>
      </c>
      <c r="B17" s="16" t="s">
        <v>1852</v>
      </c>
      <c r="C17" s="17" t="s">
        <v>1853</v>
      </c>
      <c r="D17" s="17" t="s">
        <v>1854</v>
      </c>
      <c r="E17" s="16" t="n">
        <v>2020</v>
      </c>
      <c r="F17" s="17" t="s">
        <v>350</v>
      </c>
      <c r="G17" s="16" t="s">
        <v>199</v>
      </c>
      <c r="H17" s="22" t="s">
        <v>9</v>
      </c>
      <c r="I17" s="17" t="s">
        <v>223</v>
      </c>
      <c r="J17" s="17" t="s">
        <v>1855</v>
      </c>
      <c r="K17" s="17" t="s">
        <v>1856</v>
      </c>
      <c r="L17" s="17" t="s">
        <v>1857</v>
      </c>
      <c r="M17" s="17" t="s">
        <v>1858</v>
      </c>
      <c r="N17" s="17" t="s">
        <v>319</v>
      </c>
      <c r="O17" s="17" t="s">
        <v>1859</v>
      </c>
      <c r="P17" s="17" t="s">
        <v>1860</v>
      </c>
      <c r="Q17" s="17" t="s">
        <v>1861</v>
      </c>
      <c r="R17" s="16" t="s">
        <v>103</v>
      </c>
      <c r="S17" s="19" t="s">
        <v>1862</v>
      </c>
      <c r="T17" s="19" t="s">
        <v>1863</v>
      </c>
      <c r="U17" s="19" t="s">
        <v>67</v>
      </c>
    </row>
    <row r="18" customFormat="false" ht="96" hidden="false" customHeight="true" outlineLevel="0" collapsed="false">
      <c r="A18" s="16" t="n">
        <v>14</v>
      </c>
      <c r="B18" s="16" t="s">
        <v>1864</v>
      </c>
      <c r="C18" s="17" t="s">
        <v>1865</v>
      </c>
      <c r="D18" s="17" t="s">
        <v>1866</v>
      </c>
      <c r="E18" s="16" t="n">
        <v>2020</v>
      </c>
      <c r="F18" s="17" t="s">
        <v>1753</v>
      </c>
      <c r="G18" s="16" t="s">
        <v>1164</v>
      </c>
      <c r="H18" s="26" t="s">
        <v>17</v>
      </c>
      <c r="I18" s="17" t="s">
        <v>17</v>
      </c>
      <c r="J18" s="17" t="s">
        <v>1844</v>
      </c>
      <c r="K18" s="17" t="s">
        <v>1867</v>
      </c>
      <c r="L18" s="17" t="s">
        <v>1868</v>
      </c>
      <c r="M18" s="17" t="s">
        <v>1869</v>
      </c>
      <c r="N18" s="17" t="s">
        <v>1870</v>
      </c>
      <c r="O18" s="17" t="s">
        <v>76</v>
      </c>
      <c r="P18" s="17" t="s">
        <v>1871</v>
      </c>
      <c r="Q18" s="17" t="s">
        <v>1872</v>
      </c>
      <c r="R18" s="16" t="s">
        <v>65</v>
      </c>
      <c r="S18" s="16"/>
      <c r="T18" s="19" t="s">
        <v>1873</v>
      </c>
      <c r="U18" s="19" t="s">
        <v>67</v>
      </c>
    </row>
    <row r="19" customFormat="false" ht="96" hidden="false" customHeight="true" outlineLevel="0" collapsed="false">
      <c r="A19" s="16" t="n">
        <v>15</v>
      </c>
      <c r="B19" s="16" t="s">
        <v>1874</v>
      </c>
      <c r="C19" s="17" t="s">
        <v>1875</v>
      </c>
      <c r="D19" s="17" t="s">
        <v>1876</v>
      </c>
      <c r="E19" s="16" t="n">
        <v>2020</v>
      </c>
      <c r="F19" s="17" t="s">
        <v>1208</v>
      </c>
      <c r="G19" s="16" t="s">
        <v>84</v>
      </c>
      <c r="H19" s="25" t="s">
        <v>7</v>
      </c>
      <c r="I19" s="17" t="s">
        <v>811</v>
      </c>
      <c r="J19" s="17" t="s">
        <v>1877</v>
      </c>
      <c r="K19" s="17" t="s">
        <v>1878</v>
      </c>
      <c r="L19" s="17" t="s">
        <v>1879</v>
      </c>
      <c r="M19" s="17" t="s">
        <v>1880</v>
      </c>
      <c r="N19" s="17" t="s">
        <v>1881</v>
      </c>
      <c r="O19" s="17" t="s">
        <v>1882</v>
      </c>
      <c r="P19" s="17" t="s">
        <v>1883</v>
      </c>
      <c r="Q19" s="17" t="s">
        <v>1884</v>
      </c>
      <c r="R19" s="16" t="s">
        <v>65</v>
      </c>
      <c r="S19" s="16"/>
      <c r="T19" s="19" t="s">
        <v>1885</v>
      </c>
      <c r="U19" s="19" t="s">
        <v>67</v>
      </c>
    </row>
    <row r="20" customFormat="false" ht="96" hidden="false" customHeight="true" outlineLevel="0" collapsed="false">
      <c r="A20" s="16" t="n">
        <v>16</v>
      </c>
      <c r="B20" s="16" t="s">
        <v>1886</v>
      </c>
      <c r="C20" s="17" t="s">
        <v>1887</v>
      </c>
      <c r="D20" s="17" t="s">
        <v>1888</v>
      </c>
      <c r="E20" s="16" t="n">
        <v>2020</v>
      </c>
      <c r="F20" s="17" t="s">
        <v>1889</v>
      </c>
      <c r="G20" s="16" t="s">
        <v>84</v>
      </c>
      <c r="H20" s="26" t="s">
        <v>17</v>
      </c>
      <c r="I20" s="17" t="s">
        <v>17</v>
      </c>
      <c r="J20" s="17" t="s">
        <v>1890</v>
      </c>
      <c r="K20" s="17" t="s">
        <v>1891</v>
      </c>
      <c r="L20" s="17" t="s">
        <v>1892</v>
      </c>
      <c r="M20" s="17" t="s">
        <v>1893</v>
      </c>
      <c r="N20" s="17" t="s">
        <v>1894</v>
      </c>
      <c r="O20" s="17" t="s">
        <v>1895</v>
      </c>
      <c r="P20" s="17" t="s">
        <v>1896</v>
      </c>
      <c r="Q20" s="17" t="s">
        <v>1897</v>
      </c>
      <c r="R20" s="16" t="s">
        <v>65</v>
      </c>
      <c r="S20" s="16"/>
      <c r="T20" s="19" t="s">
        <v>1898</v>
      </c>
      <c r="U20" s="19" t="s">
        <v>67</v>
      </c>
    </row>
    <row r="21" customFormat="false" ht="96" hidden="false" customHeight="true" outlineLevel="0" collapsed="false">
      <c r="A21" s="16" t="n">
        <v>17</v>
      </c>
      <c r="B21" s="16" t="s">
        <v>1899</v>
      </c>
      <c r="C21" s="17" t="s">
        <v>1900</v>
      </c>
      <c r="D21" s="17" t="s">
        <v>1107</v>
      </c>
      <c r="E21" s="16" t="n">
        <v>2020</v>
      </c>
      <c r="F21" s="17" t="s">
        <v>1901</v>
      </c>
      <c r="G21" s="16" t="s">
        <v>162</v>
      </c>
      <c r="H21" s="20" t="s">
        <v>25</v>
      </c>
      <c r="I21" s="17" t="s">
        <v>72</v>
      </c>
      <c r="J21" s="17" t="s">
        <v>1109</v>
      </c>
      <c r="K21" s="17" t="s">
        <v>1902</v>
      </c>
      <c r="L21" s="17" t="s">
        <v>1903</v>
      </c>
      <c r="M21" s="17" t="s">
        <v>1904</v>
      </c>
      <c r="N21" s="17" t="s">
        <v>1905</v>
      </c>
      <c r="O21" s="17" t="s">
        <v>76</v>
      </c>
      <c r="P21" s="17" t="s">
        <v>1906</v>
      </c>
      <c r="Q21" s="17" t="s">
        <v>1907</v>
      </c>
      <c r="R21" s="16" t="s">
        <v>65</v>
      </c>
      <c r="S21" s="16"/>
      <c r="T21" s="19" t="s">
        <v>1908</v>
      </c>
      <c r="U21" s="19" t="s">
        <v>67</v>
      </c>
    </row>
    <row r="22" customFormat="false" ht="96" hidden="false" customHeight="true" outlineLevel="0" collapsed="false">
      <c r="A22" s="16" t="n">
        <v>18</v>
      </c>
      <c r="B22" s="16" t="s">
        <v>1909</v>
      </c>
      <c r="C22" s="17" t="s">
        <v>1910</v>
      </c>
      <c r="D22" s="17" t="s">
        <v>1911</v>
      </c>
      <c r="E22" s="16" t="n">
        <v>2020</v>
      </c>
      <c r="F22" s="17" t="s">
        <v>71</v>
      </c>
      <c r="G22" s="16" t="s">
        <v>56</v>
      </c>
      <c r="H22" s="26" t="s">
        <v>17</v>
      </c>
      <c r="I22" s="17" t="s">
        <v>17</v>
      </c>
      <c r="J22" s="17" t="s">
        <v>1844</v>
      </c>
      <c r="K22" s="17" t="s">
        <v>1845</v>
      </c>
      <c r="L22" s="17" t="s">
        <v>1912</v>
      </c>
      <c r="M22" s="17" t="s">
        <v>1913</v>
      </c>
      <c r="N22" s="17" t="s">
        <v>1848</v>
      </c>
      <c r="O22" s="17" t="s">
        <v>979</v>
      </c>
      <c r="P22" s="17" t="s">
        <v>1914</v>
      </c>
      <c r="Q22" s="17" t="s">
        <v>1915</v>
      </c>
      <c r="R22" s="16" t="s">
        <v>65</v>
      </c>
      <c r="S22" s="16"/>
      <c r="T22" s="19" t="s">
        <v>1916</v>
      </c>
      <c r="U22" s="19" t="s">
        <v>67</v>
      </c>
    </row>
    <row r="23" customFormat="false" ht="96" hidden="false" customHeight="true" outlineLevel="0" collapsed="false">
      <c r="A23" s="16" t="n">
        <v>19</v>
      </c>
      <c r="B23" s="16" t="s">
        <v>1917</v>
      </c>
      <c r="C23" s="17" t="s">
        <v>1918</v>
      </c>
      <c r="D23" s="17" t="s">
        <v>1919</v>
      </c>
      <c r="E23" s="16" t="n">
        <v>2020</v>
      </c>
      <c r="F23" s="17" t="s">
        <v>209</v>
      </c>
      <c r="G23" s="16" t="s">
        <v>199</v>
      </c>
      <c r="H23" s="18" t="s">
        <v>23</v>
      </c>
      <c r="I23" s="17" t="s">
        <v>23</v>
      </c>
      <c r="J23" s="17" t="s">
        <v>1920</v>
      </c>
      <c r="K23" s="17" t="s">
        <v>1921</v>
      </c>
      <c r="L23" s="17" t="s">
        <v>1922</v>
      </c>
      <c r="M23" s="17" t="s">
        <v>1923</v>
      </c>
      <c r="N23" s="17" t="s">
        <v>1924</v>
      </c>
      <c r="O23" s="17" t="s">
        <v>76</v>
      </c>
      <c r="P23" s="17" t="s">
        <v>1925</v>
      </c>
      <c r="Q23" s="17" t="s">
        <v>1926</v>
      </c>
      <c r="R23" s="16" t="s">
        <v>65</v>
      </c>
      <c r="S23" s="16"/>
      <c r="T23" s="19" t="s">
        <v>1927</v>
      </c>
      <c r="U23" s="19" t="s">
        <v>67</v>
      </c>
    </row>
  </sheetData>
  <autoFilter ref="A4:U23"/>
  <hyperlinks>
    <hyperlink ref="T5" r:id="rId1" display="https://arxiv.org/abs/1908.05008"/>
    <hyperlink ref="U5" r:id="rId2" display="Search"/>
    <hyperlink ref="S6" r:id="rId3" display="https://github.com/papermsucode/advhat"/>
    <hyperlink ref="T6" r:id="rId4" display="https://arxiv.org/abs/1908.08705"/>
    <hyperlink ref="U6" r:id="rId5" display="Search"/>
    <hyperlink ref="S7" r:id="rId6" display="https://github.com/dvl-tum/ciagan"/>
    <hyperlink ref="T7" r:id="rId7" display="https://arxiv.org/abs/2005.09544"/>
    <hyperlink ref="U7" r:id="rId8" display="Search"/>
    <hyperlink ref="T8" r:id="rId9" display="https://ieeexplore.ieee.org/document/9210976"/>
    <hyperlink ref="U8" r:id="rId10" display="Search"/>
    <hyperlink ref="S9" r:id="rId11" display="https://github.com/AdityaGolatkar/SelectiveForgetting"/>
    <hyperlink ref="T9" r:id="rId12" display="https://arxiv.org/abs/1911.04933"/>
    <hyperlink ref="U9" r:id="rId13" display="Search"/>
    <hyperlink ref="T10" r:id="rId14" display="https://www.ajl.org/federal-office-call"/>
    <hyperlink ref="U10" r:id="rId15" display="Search"/>
    <hyperlink ref="S11" r:id="rId16" display="https://github.com/Shawn-Shan/fawkes"/>
    <hyperlink ref="T11" r:id="rId17" display="https://arxiv.org/abs/2002.08327"/>
    <hyperlink ref="U11" r:id="rId18" display="Search"/>
    <hyperlink ref="S12" r:id="rId19" display="https://github.com/AdityaGolatkar/SelectiveForgetting"/>
    <hyperlink ref="T12" r:id="rId20" display="https://arxiv.org/abs/2003.02960"/>
    <hyperlink ref="U12" r:id="rId21" display="Search"/>
    <hyperlink ref="S13" r:id="rId22" display="https://github.com/Hazelsuko07/InstaHide"/>
    <hyperlink ref="T13" r:id="rId23" display="https://arxiv.org/abs/2010.02772"/>
    <hyperlink ref="U13" r:id="rId24" display="Search"/>
    <hyperlink ref="T14" r:id="rId25" display="https://doi.org/10.1109/FG47880.2020.00007"/>
    <hyperlink ref="U14" r:id="rId26" display="Search"/>
    <hyperlink ref="T15" r:id="rId27" display="https://doi.org/10.6028/NIST.IR.8331"/>
    <hyperlink ref="U15" r:id="rId28" display="Search"/>
    <hyperlink ref="T16" r:id="rId29" display="https://doi.org/10.1109/ACCESS.2020.2994960"/>
    <hyperlink ref="U16" r:id="rId30" display="Search"/>
    <hyperlink ref="S17" r:id="rId31" display="https://github.com/laoreja/face-identity-transformer"/>
    <hyperlink ref="T17" r:id="rId32" display="https://arxiv.org/abs/1911.11759"/>
    <hyperlink ref="U17" r:id="rId33" display="Search"/>
    <hyperlink ref="T18" r:id="rId34" display="https://ieeexplore.ieee.org/document/9211021"/>
    <hyperlink ref="U18" r:id="rId35" display="Search"/>
    <hyperlink ref="T19" r:id="rId36" display="https://doi.org/10.1016/j.cose.2020.101951"/>
    <hyperlink ref="U19" r:id="rId37" display="Search"/>
    <hyperlink ref="T20" r:id="rId38" display="https://arxiv.org/abs/2001.00561"/>
    <hyperlink ref="U20" r:id="rId39" display="Search"/>
    <hyperlink ref="T21" r:id="rId40" display="https://www.nytimes.com/2020/01/18/technology/clearview-privacy-facial-recognition.html"/>
    <hyperlink ref="U21" r:id="rId41" display="Search"/>
    <hyperlink ref="T22" r:id="rId42" display="https://arxiv.org/abs/2002.09181"/>
    <hyperlink ref="U22" r:id="rId43" display="Search"/>
    <hyperlink ref="T23" r:id="rId44" display="https://arxiv.org/abs/2003.06958"/>
    <hyperlink ref="U23" r:id="rId45"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2685</v>
      </c>
    </row>
    <row r="2" customFormat="false" ht="15" hidden="false" customHeight="false" outlineLevel="0" collapsed="false">
      <c r="A2" s="14" t="s">
        <v>2702</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1401</v>
      </c>
      <c r="C5" s="17" t="s">
        <v>1402</v>
      </c>
      <c r="D5" s="17" t="s">
        <v>1403</v>
      </c>
      <c r="E5" s="16" t="n">
        <v>2021</v>
      </c>
      <c r="F5" s="17" t="s">
        <v>1404</v>
      </c>
      <c r="G5" s="16" t="s">
        <v>56</v>
      </c>
      <c r="H5" s="20" t="s">
        <v>25</v>
      </c>
      <c r="I5" s="17" t="s">
        <v>72</v>
      </c>
      <c r="J5" s="17" t="s">
        <v>1405</v>
      </c>
      <c r="K5" s="17" t="s">
        <v>1109</v>
      </c>
      <c r="L5" s="17" t="s">
        <v>1406</v>
      </c>
      <c r="M5" s="17" t="s">
        <v>1407</v>
      </c>
      <c r="N5" s="17" t="s">
        <v>76</v>
      </c>
      <c r="O5" s="17" t="s">
        <v>76</v>
      </c>
      <c r="P5" s="17" t="s">
        <v>1408</v>
      </c>
      <c r="Q5" s="17" t="s">
        <v>1409</v>
      </c>
      <c r="R5" s="16" t="s">
        <v>65</v>
      </c>
      <c r="S5" s="16"/>
      <c r="T5" s="19" t="s">
        <v>1410</v>
      </c>
      <c r="U5" s="19" t="s">
        <v>67</v>
      </c>
    </row>
    <row r="6" customFormat="false" ht="96" hidden="false" customHeight="true" outlineLevel="0" collapsed="false">
      <c r="A6" s="16" t="n">
        <v>2</v>
      </c>
      <c r="B6" s="16" t="s">
        <v>1411</v>
      </c>
      <c r="C6" s="17" t="s">
        <v>1412</v>
      </c>
      <c r="D6" s="17" t="s">
        <v>1413</v>
      </c>
      <c r="E6" s="16" t="n">
        <v>2021</v>
      </c>
      <c r="F6" s="17" t="s">
        <v>1414</v>
      </c>
      <c r="G6" s="16" t="s">
        <v>148</v>
      </c>
      <c r="H6" s="21" t="s">
        <v>11</v>
      </c>
      <c r="I6" s="17" t="s">
        <v>125</v>
      </c>
      <c r="J6" s="17" t="s">
        <v>85</v>
      </c>
      <c r="K6" s="17" t="s">
        <v>1415</v>
      </c>
      <c r="L6" s="17" t="s">
        <v>1416</v>
      </c>
      <c r="M6" s="17" t="s">
        <v>1417</v>
      </c>
      <c r="N6" s="17" t="s">
        <v>1418</v>
      </c>
      <c r="O6" s="17" t="s">
        <v>1419</v>
      </c>
      <c r="P6" s="17" t="s">
        <v>1420</v>
      </c>
      <c r="Q6" s="17" t="s">
        <v>1421</v>
      </c>
      <c r="R6" s="16" t="s">
        <v>103</v>
      </c>
      <c r="S6" s="19" t="s">
        <v>1422</v>
      </c>
      <c r="T6" s="19" t="s">
        <v>1423</v>
      </c>
      <c r="U6" s="19" t="s">
        <v>67</v>
      </c>
    </row>
    <row r="7" customFormat="false" ht="96" hidden="false" customHeight="true" outlineLevel="0" collapsed="false">
      <c r="A7" s="16" t="n">
        <v>3</v>
      </c>
      <c r="B7" s="16" t="s">
        <v>1424</v>
      </c>
      <c r="C7" s="17" t="s">
        <v>1425</v>
      </c>
      <c r="D7" s="17" t="s">
        <v>1426</v>
      </c>
      <c r="E7" s="16" t="n">
        <v>2021</v>
      </c>
      <c r="F7" s="17" t="s">
        <v>907</v>
      </c>
      <c r="G7" s="16" t="s">
        <v>148</v>
      </c>
      <c r="H7" s="21" t="s">
        <v>13</v>
      </c>
      <c r="I7" s="17" t="s">
        <v>125</v>
      </c>
      <c r="J7" s="17" t="s">
        <v>1427</v>
      </c>
      <c r="K7" s="17" t="s">
        <v>1428</v>
      </c>
      <c r="L7" s="17" t="s">
        <v>1429</v>
      </c>
      <c r="M7" s="17" t="s">
        <v>1430</v>
      </c>
      <c r="N7" s="17" t="s">
        <v>1178</v>
      </c>
      <c r="O7" s="17" t="s">
        <v>549</v>
      </c>
      <c r="P7" s="17" t="s">
        <v>1431</v>
      </c>
      <c r="Q7" s="17" t="s">
        <v>1432</v>
      </c>
      <c r="R7" s="16" t="s">
        <v>103</v>
      </c>
      <c r="S7" s="19" t="s">
        <v>1433</v>
      </c>
      <c r="T7" s="19" t="s">
        <v>1434</v>
      </c>
      <c r="U7" s="19" t="s">
        <v>67</v>
      </c>
    </row>
    <row r="8" customFormat="false" ht="96" hidden="false" customHeight="true" outlineLevel="0" collapsed="false">
      <c r="A8" s="16" t="n">
        <v>4</v>
      </c>
      <c r="B8" s="16" t="s">
        <v>1435</v>
      </c>
      <c r="C8" s="17" t="s">
        <v>1436</v>
      </c>
      <c r="D8" s="17" t="s">
        <v>1437</v>
      </c>
      <c r="E8" s="16" t="n">
        <v>2021</v>
      </c>
      <c r="F8" s="17" t="s">
        <v>71</v>
      </c>
      <c r="G8" s="16" t="s">
        <v>56</v>
      </c>
      <c r="H8" s="25" t="s">
        <v>7</v>
      </c>
      <c r="I8" s="17" t="s">
        <v>811</v>
      </c>
      <c r="J8" s="17" t="s">
        <v>447</v>
      </c>
      <c r="K8" s="17" t="s">
        <v>1438</v>
      </c>
      <c r="L8" s="17" t="s">
        <v>1439</v>
      </c>
      <c r="M8" s="17" t="s">
        <v>1440</v>
      </c>
      <c r="N8" s="17" t="s">
        <v>1304</v>
      </c>
      <c r="O8" s="17" t="s">
        <v>1441</v>
      </c>
      <c r="P8" s="17" t="s">
        <v>1442</v>
      </c>
      <c r="Q8" s="17" t="s">
        <v>1443</v>
      </c>
      <c r="R8" s="16" t="s">
        <v>65</v>
      </c>
      <c r="S8" s="16"/>
      <c r="T8" s="19" t="s">
        <v>1444</v>
      </c>
      <c r="U8" s="19" t="s">
        <v>67</v>
      </c>
    </row>
    <row r="9" customFormat="false" ht="96" hidden="false" customHeight="true" outlineLevel="0" collapsed="false">
      <c r="A9" s="16" t="n">
        <v>5</v>
      </c>
      <c r="B9" s="16" t="s">
        <v>1445</v>
      </c>
      <c r="C9" s="17" t="s">
        <v>1446</v>
      </c>
      <c r="D9" s="17" t="s">
        <v>1447</v>
      </c>
      <c r="E9" s="16" t="n">
        <v>2021</v>
      </c>
      <c r="F9" s="17" t="s">
        <v>1448</v>
      </c>
      <c r="G9" s="16" t="s">
        <v>162</v>
      </c>
      <c r="H9" s="20" t="s">
        <v>25</v>
      </c>
      <c r="I9" s="17" t="s">
        <v>72</v>
      </c>
      <c r="J9" s="17" t="s">
        <v>1449</v>
      </c>
      <c r="K9" s="17" t="s">
        <v>1109</v>
      </c>
      <c r="L9" s="17" t="s">
        <v>1450</v>
      </c>
      <c r="M9" s="17" t="s">
        <v>1451</v>
      </c>
      <c r="N9" s="17" t="s">
        <v>1452</v>
      </c>
      <c r="O9" s="17" t="s">
        <v>76</v>
      </c>
      <c r="P9" s="17" t="s">
        <v>1453</v>
      </c>
      <c r="Q9" s="17" t="s">
        <v>1454</v>
      </c>
      <c r="R9" s="16" t="s">
        <v>65</v>
      </c>
      <c r="S9" s="16"/>
      <c r="T9" s="19" t="s">
        <v>1455</v>
      </c>
      <c r="U9" s="19" t="s">
        <v>67</v>
      </c>
    </row>
    <row r="10" customFormat="false" ht="96" hidden="false" customHeight="true" outlineLevel="0" collapsed="false">
      <c r="A10" s="16" t="n">
        <v>6</v>
      </c>
      <c r="B10" s="16" t="s">
        <v>1456</v>
      </c>
      <c r="C10" s="17" t="s">
        <v>1457</v>
      </c>
      <c r="D10" s="17" t="s">
        <v>1458</v>
      </c>
      <c r="E10" s="16" t="n">
        <v>2021</v>
      </c>
      <c r="F10" s="17" t="s">
        <v>445</v>
      </c>
      <c r="G10" s="16" t="s">
        <v>446</v>
      </c>
      <c r="H10" s="21" t="s">
        <v>11</v>
      </c>
      <c r="I10" s="17" t="s">
        <v>125</v>
      </c>
      <c r="J10" s="17" t="s">
        <v>1459</v>
      </c>
      <c r="K10" s="17" t="s">
        <v>1460</v>
      </c>
      <c r="L10" s="17" t="s">
        <v>1461</v>
      </c>
      <c r="M10" s="17" t="s">
        <v>1462</v>
      </c>
      <c r="N10" s="17" t="s">
        <v>1463</v>
      </c>
      <c r="O10" s="17" t="s">
        <v>1464</v>
      </c>
      <c r="P10" s="17" t="s">
        <v>1465</v>
      </c>
      <c r="Q10" s="17" t="s">
        <v>1466</v>
      </c>
      <c r="R10" s="16" t="s">
        <v>103</v>
      </c>
      <c r="S10" s="19" t="s">
        <v>1467</v>
      </c>
      <c r="T10" s="19" t="s">
        <v>1468</v>
      </c>
      <c r="U10" s="19" t="s">
        <v>67</v>
      </c>
    </row>
    <row r="11" customFormat="false" ht="96" hidden="false" customHeight="true" outlineLevel="0" collapsed="false">
      <c r="A11" s="16" t="n">
        <v>7</v>
      </c>
      <c r="B11" s="16" t="s">
        <v>1469</v>
      </c>
      <c r="C11" s="17" t="s">
        <v>1470</v>
      </c>
      <c r="D11" s="17" t="s">
        <v>1471</v>
      </c>
      <c r="E11" s="16" t="n">
        <v>2021</v>
      </c>
      <c r="F11" s="17" t="s">
        <v>1277</v>
      </c>
      <c r="G11" s="16" t="s">
        <v>1164</v>
      </c>
      <c r="H11" s="23" t="s">
        <v>19</v>
      </c>
      <c r="I11" s="17" t="s">
        <v>328</v>
      </c>
      <c r="J11" s="17" t="s">
        <v>1472</v>
      </c>
      <c r="K11" s="17" t="s">
        <v>1473</v>
      </c>
      <c r="L11" s="17" t="s">
        <v>1474</v>
      </c>
      <c r="M11" s="17" t="s">
        <v>1475</v>
      </c>
      <c r="N11" s="17" t="s">
        <v>1476</v>
      </c>
      <c r="O11" s="17" t="s">
        <v>1477</v>
      </c>
      <c r="P11" s="17" t="s">
        <v>1478</v>
      </c>
      <c r="Q11" s="17" t="s">
        <v>1479</v>
      </c>
      <c r="R11" s="16" t="s">
        <v>65</v>
      </c>
      <c r="S11" s="16"/>
      <c r="T11" s="19" t="s">
        <v>1480</v>
      </c>
      <c r="U11" s="19" t="s">
        <v>67</v>
      </c>
    </row>
    <row r="12" customFormat="false" ht="96" hidden="false" customHeight="true" outlineLevel="0" collapsed="false">
      <c r="A12" s="16" t="n">
        <v>8</v>
      </c>
      <c r="B12" s="16" t="s">
        <v>1481</v>
      </c>
      <c r="C12" s="17" t="s">
        <v>1482</v>
      </c>
      <c r="D12" s="17" t="s">
        <v>1483</v>
      </c>
      <c r="E12" s="16" t="n">
        <v>2021</v>
      </c>
      <c r="F12" s="17" t="s">
        <v>445</v>
      </c>
      <c r="G12" s="16" t="s">
        <v>446</v>
      </c>
      <c r="H12" s="21" t="s">
        <v>11</v>
      </c>
      <c r="I12" s="17" t="s">
        <v>125</v>
      </c>
      <c r="J12" s="17" t="s">
        <v>1484</v>
      </c>
      <c r="K12" s="17" t="s">
        <v>1485</v>
      </c>
      <c r="L12" s="17" t="s">
        <v>1486</v>
      </c>
      <c r="M12" s="17" t="s">
        <v>1487</v>
      </c>
      <c r="N12" s="17" t="s">
        <v>1488</v>
      </c>
      <c r="O12" s="17" t="s">
        <v>1489</v>
      </c>
      <c r="P12" s="17" t="s">
        <v>1490</v>
      </c>
      <c r="Q12" s="17" t="s">
        <v>1491</v>
      </c>
      <c r="R12" s="16" t="s">
        <v>103</v>
      </c>
      <c r="S12" s="19" t="s">
        <v>1492</v>
      </c>
      <c r="T12" s="19" t="s">
        <v>1493</v>
      </c>
      <c r="U12" s="19" t="s">
        <v>67</v>
      </c>
    </row>
    <row r="13" customFormat="false" ht="96" hidden="false" customHeight="true" outlineLevel="0" collapsed="false">
      <c r="A13" s="16" t="n">
        <v>9</v>
      </c>
      <c r="B13" s="16" t="s">
        <v>1494</v>
      </c>
      <c r="C13" s="17" t="s">
        <v>1495</v>
      </c>
      <c r="D13" s="17" t="s">
        <v>1496</v>
      </c>
      <c r="E13" s="16" t="n">
        <v>2021</v>
      </c>
      <c r="F13" s="17" t="s">
        <v>198</v>
      </c>
      <c r="G13" s="16" t="s">
        <v>199</v>
      </c>
      <c r="H13" s="22" t="s">
        <v>9</v>
      </c>
      <c r="I13" s="17" t="s">
        <v>223</v>
      </c>
      <c r="J13" s="17" t="s">
        <v>447</v>
      </c>
      <c r="K13" s="17" t="s">
        <v>1497</v>
      </c>
      <c r="L13" s="17" t="s">
        <v>1498</v>
      </c>
      <c r="M13" s="17" t="s">
        <v>1499</v>
      </c>
      <c r="N13" s="17" t="s">
        <v>853</v>
      </c>
      <c r="O13" s="17" t="s">
        <v>1500</v>
      </c>
      <c r="P13" s="17" t="s">
        <v>1501</v>
      </c>
      <c r="Q13" s="17" t="s">
        <v>1502</v>
      </c>
      <c r="R13" s="16" t="s">
        <v>65</v>
      </c>
      <c r="S13" s="16"/>
      <c r="T13" s="19" t="s">
        <v>1503</v>
      </c>
      <c r="U13" s="19" t="s">
        <v>67</v>
      </c>
    </row>
    <row r="14" customFormat="false" ht="96" hidden="false" customHeight="true" outlineLevel="0" collapsed="false">
      <c r="A14" s="16" t="n">
        <v>10</v>
      </c>
      <c r="B14" s="16" t="s">
        <v>1504</v>
      </c>
      <c r="C14" s="17" t="s">
        <v>1505</v>
      </c>
      <c r="D14" s="17" t="s">
        <v>1506</v>
      </c>
      <c r="E14" s="16" t="n">
        <v>2021</v>
      </c>
      <c r="F14" s="17" t="s">
        <v>209</v>
      </c>
      <c r="G14" s="16" t="s">
        <v>199</v>
      </c>
      <c r="H14" s="21" t="s">
        <v>11</v>
      </c>
      <c r="I14" s="17" t="s">
        <v>125</v>
      </c>
      <c r="J14" s="17" t="s">
        <v>85</v>
      </c>
      <c r="K14" s="17" t="s">
        <v>1507</v>
      </c>
      <c r="L14" s="17" t="s">
        <v>1508</v>
      </c>
      <c r="M14" s="17" t="s">
        <v>1509</v>
      </c>
      <c r="N14" s="17" t="s">
        <v>1510</v>
      </c>
      <c r="O14" s="17" t="s">
        <v>1511</v>
      </c>
      <c r="P14" s="17" t="s">
        <v>1512</v>
      </c>
      <c r="Q14" s="17" t="s">
        <v>1513</v>
      </c>
      <c r="R14" s="16" t="s">
        <v>65</v>
      </c>
      <c r="S14" s="16"/>
      <c r="T14" s="19" t="s">
        <v>1514</v>
      </c>
      <c r="U14" s="19" t="s">
        <v>67</v>
      </c>
    </row>
    <row r="15" customFormat="false" ht="96" hidden="false" customHeight="true" outlineLevel="0" collapsed="false">
      <c r="A15" s="16" t="n">
        <v>11</v>
      </c>
      <c r="B15" s="16" t="s">
        <v>1515</v>
      </c>
      <c r="C15" s="17" t="s">
        <v>1516</v>
      </c>
      <c r="D15" s="17" t="s">
        <v>1517</v>
      </c>
      <c r="E15" s="16" t="n">
        <v>2021</v>
      </c>
      <c r="F15" s="17" t="s">
        <v>209</v>
      </c>
      <c r="G15" s="16" t="s">
        <v>199</v>
      </c>
      <c r="H15" s="24" t="s">
        <v>15</v>
      </c>
      <c r="I15" s="17" t="s">
        <v>592</v>
      </c>
      <c r="J15" s="17" t="s">
        <v>1518</v>
      </c>
      <c r="K15" s="17" t="s">
        <v>1519</v>
      </c>
      <c r="L15" s="17" t="s">
        <v>1520</v>
      </c>
      <c r="M15" s="17" t="s">
        <v>1521</v>
      </c>
      <c r="N15" s="17" t="s">
        <v>1213</v>
      </c>
      <c r="O15" s="17" t="s">
        <v>1385</v>
      </c>
      <c r="P15" s="17" t="s">
        <v>1522</v>
      </c>
      <c r="Q15" s="17" t="s">
        <v>1523</v>
      </c>
      <c r="R15" s="16" t="s">
        <v>65</v>
      </c>
      <c r="S15" s="16"/>
      <c r="T15" s="19" t="s">
        <v>1524</v>
      </c>
      <c r="U15" s="19" t="s">
        <v>67</v>
      </c>
    </row>
    <row r="16" customFormat="false" ht="96" hidden="false" customHeight="true" outlineLevel="0" collapsed="false">
      <c r="A16" s="16" t="n">
        <v>12</v>
      </c>
      <c r="B16" s="16" t="s">
        <v>1525</v>
      </c>
      <c r="C16" s="17" t="s">
        <v>1526</v>
      </c>
      <c r="D16" s="17" t="s">
        <v>1527</v>
      </c>
      <c r="E16" s="16" t="n">
        <v>2021</v>
      </c>
      <c r="F16" s="17" t="s">
        <v>557</v>
      </c>
      <c r="G16" s="16" t="s">
        <v>446</v>
      </c>
      <c r="H16" s="18" t="s">
        <v>23</v>
      </c>
      <c r="I16" s="17" t="s">
        <v>23</v>
      </c>
      <c r="J16" s="17" t="s">
        <v>1528</v>
      </c>
      <c r="K16" s="17" t="s">
        <v>1529</v>
      </c>
      <c r="L16" s="17" t="s">
        <v>1530</v>
      </c>
      <c r="M16" s="17" t="s">
        <v>1531</v>
      </c>
      <c r="N16" s="17" t="s">
        <v>1532</v>
      </c>
      <c r="O16" s="17" t="s">
        <v>76</v>
      </c>
      <c r="P16" s="17" t="s">
        <v>1533</v>
      </c>
      <c r="Q16" s="17" t="s">
        <v>1534</v>
      </c>
      <c r="R16" s="16" t="s">
        <v>65</v>
      </c>
      <c r="S16" s="16"/>
      <c r="T16" s="19" t="s">
        <v>1535</v>
      </c>
      <c r="U16" s="19" t="s">
        <v>67</v>
      </c>
    </row>
    <row r="17" customFormat="false" ht="96" hidden="false" customHeight="true" outlineLevel="0" collapsed="false">
      <c r="A17" s="16" t="n">
        <v>13</v>
      </c>
      <c r="B17" s="16" t="s">
        <v>1536</v>
      </c>
      <c r="C17" s="17" t="s">
        <v>1537</v>
      </c>
      <c r="D17" s="17" t="s">
        <v>1538</v>
      </c>
      <c r="E17" s="16" t="n">
        <v>2021</v>
      </c>
      <c r="F17" s="17" t="s">
        <v>796</v>
      </c>
      <c r="G17" s="16" t="s">
        <v>199</v>
      </c>
      <c r="H17" s="20" t="s">
        <v>25</v>
      </c>
      <c r="I17" s="17" t="s">
        <v>72</v>
      </c>
      <c r="J17" s="17" t="s">
        <v>1539</v>
      </c>
      <c r="K17" s="17" t="s">
        <v>1109</v>
      </c>
      <c r="L17" s="17" t="s">
        <v>1540</v>
      </c>
      <c r="M17" s="17" t="s">
        <v>1541</v>
      </c>
      <c r="N17" s="17" t="s">
        <v>1452</v>
      </c>
      <c r="O17" s="17" t="s">
        <v>76</v>
      </c>
      <c r="P17" s="17" t="s">
        <v>1542</v>
      </c>
      <c r="Q17" s="17" t="s">
        <v>1543</v>
      </c>
      <c r="R17" s="16" t="s">
        <v>65</v>
      </c>
      <c r="S17" s="16"/>
      <c r="T17" s="19" t="s">
        <v>1544</v>
      </c>
      <c r="U17" s="19" t="s">
        <v>67</v>
      </c>
    </row>
    <row r="18" customFormat="false" ht="96" hidden="false" customHeight="true" outlineLevel="0" collapsed="false">
      <c r="A18" s="16" t="n">
        <v>14</v>
      </c>
      <c r="B18" s="16" t="s">
        <v>1545</v>
      </c>
      <c r="C18" s="17" t="s">
        <v>1546</v>
      </c>
      <c r="D18" s="17" t="s">
        <v>1547</v>
      </c>
      <c r="E18" s="16" t="n">
        <v>2021</v>
      </c>
      <c r="F18" s="17" t="s">
        <v>661</v>
      </c>
      <c r="G18" s="16" t="s">
        <v>199</v>
      </c>
      <c r="H18" s="25" t="s">
        <v>5</v>
      </c>
      <c r="I18" s="17" t="s">
        <v>811</v>
      </c>
      <c r="J18" s="17" t="s">
        <v>1548</v>
      </c>
      <c r="K18" s="17" t="s">
        <v>1549</v>
      </c>
      <c r="L18" s="17" t="s">
        <v>1550</v>
      </c>
      <c r="M18" s="17" t="s">
        <v>1551</v>
      </c>
      <c r="N18" s="17" t="s">
        <v>1552</v>
      </c>
      <c r="O18" s="17" t="s">
        <v>1553</v>
      </c>
      <c r="P18" s="17" t="s">
        <v>1554</v>
      </c>
      <c r="Q18" s="17" t="s">
        <v>1555</v>
      </c>
      <c r="R18" s="16" t="s">
        <v>103</v>
      </c>
      <c r="S18" s="19" t="s">
        <v>1556</v>
      </c>
      <c r="T18" s="19" t="s">
        <v>1557</v>
      </c>
      <c r="U18" s="19" t="s">
        <v>67</v>
      </c>
    </row>
    <row r="19" customFormat="false" ht="96" hidden="false" customHeight="true" outlineLevel="0" collapsed="false">
      <c r="A19" s="16" t="n">
        <v>15</v>
      </c>
      <c r="B19" s="16" t="s">
        <v>1558</v>
      </c>
      <c r="C19" s="17" t="s">
        <v>1559</v>
      </c>
      <c r="D19" s="17" t="s">
        <v>1560</v>
      </c>
      <c r="E19" s="16" t="n">
        <v>2021</v>
      </c>
      <c r="F19" s="17" t="s">
        <v>327</v>
      </c>
      <c r="G19" s="16" t="s">
        <v>148</v>
      </c>
      <c r="H19" s="21" t="s">
        <v>11</v>
      </c>
      <c r="I19" s="17" t="s">
        <v>125</v>
      </c>
      <c r="J19" s="17" t="s">
        <v>1561</v>
      </c>
      <c r="K19" s="17" t="s">
        <v>1562</v>
      </c>
      <c r="L19" s="17" t="s">
        <v>1563</v>
      </c>
      <c r="M19" s="17" t="s">
        <v>1564</v>
      </c>
      <c r="N19" s="17" t="s">
        <v>1565</v>
      </c>
      <c r="O19" s="17" t="s">
        <v>1566</v>
      </c>
      <c r="P19" s="17" t="s">
        <v>1567</v>
      </c>
      <c r="Q19" s="17" t="s">
        <v>1568</v>
      </c>
      <c r="R19" s="16" t="s">
        <v>103</v>
      </c>
      <c r="S19" s="19" t="s">
        <v>1569</v>
      </c>
      <c r="T19" s="19" t="s">
        <v>1570</v>
      </c>
      <c r="U19" s="19" t="s">
        <v>67</v>
      </c>
    </row>
    <row r="20" customFormat="false" ht="96" hidden="false" customHeight="true" outlineLevel="0" collapsed="false">
      <c r="A20" s="16" t="n">
        <v>16</v>
      </c>
      <c r="B20" s="16" t="s">
        <v>1571</v>
      </c>
      <c r="C20" s="17" t="s">
        <v>1572</v>
      </c>
      <c r="D20" s="17" t="s">
        <v>1573</v>
      </c>
      <c r="E20" s="16" t="n">
        <v>2021</v>
      </c>
      <c r="F20" s="17" t="s">
        <v>557</v>
      </c>
      <c r="G20" s="16" t="s">
        <v>446</v>
      </c>
      <c r="H20" s="23" t="s">
        <v>21</v>
      </c>
      <c r="I20" s="17" t="s">
        <v>328</v>
      </c>
      <c r="J20" s="17" t="s">
        <v>1574</v>
      </c>
      <c r="K20" s="17" t="s">
        <v>1575</v>
      </c>
      <c r="L20" s="17" t="s">
        <v>1576</v>
      </c>
      <c r="M20" s="17" t="s">
        <v>1577</v>
      </c>
      <c r="N20" s="17" t="s">
        <v>1578</v>
      </c>
      <c r="O20" s="17" t="s">
        <v>1579</v>
      </c>
      <c r="P20" s="17" t="s">
        <v>1580</v>
      </c>
      <c r="Q20" s="17" t="s">
        <v>1581</v>
      </c>
      <c r="R20" s="16" t="s">
        <v>103</v>
      </c>
      <c r="S20" s="19" t="s">
        <v>1582</v>
      </c>
      <c r="T20" s="19" t="s">
        <v>1583</v>
      </c>
      <c r="U20" s="19" t="s">
        <v>67</v>
      </c>
    </row>
    <row r="21" customFormat="false" ht="96" hidden="false" customHeight="true" outlineLevel="0" collapsed="false">
      <c r="A21" s="16" t="n">
        <v>17</v>
      </c>
      <c r="B21" s="16" t="s">
        <v>1584</v>
      </c>
      <c r="C21" s="17" t="s">
        <v>1585</v>
      </c>
      <c r="D21" s="17" t="s">
        <v>1220</v>
      </c>
      <c r="E21" s="16" t="n">
        <v>2021</v>
      </c>
      <c r="F21" s="17" t="s">
        <v>1586</v>
      </c>
      <c r="G21" s="16" t="s">
        <v>84</v>
      </c>
      <c r="H21" s="25" t="s">
        <v>7</v>
      </c>
      <c r="I21" s="17" t="s">
        <v>811</v>
      </c>
      <c r="J21" s="17" t="s">
        <v>1587</v>
      </c>
      <c r="K21" s="17" t="s">
        <v>1588</v>
      </c>
      <c r="L21" s="17" t="s">
        <v>1589</v>
      </c>
      <c r="M21" s="17" t="s">
        <v>1590</v>
      </c>
      <c r="N21" s="17" t="s">
        <v>1591</v>
      </c>
      <c r="O21" s="17" t="s">
        <v>1592</v>
      </c>
      <c r="P21" s="17" t="s">
        <v>1593</v>
      </c>
      <c r="Q21" s="17" t="s">
        <v>1594</v>
      </c>
      <c r="R21" s="16" t="s">
        <v>65</v>
      </c>
      <c r="S21" s="16"/>
      <c r="T21" s="19" t="s">
        <v>1595</v>
      </c>
      <c r="U21" s="19" t="s">
        <v>67</v>
      </c>
    </row>
    <row r="22" customFormat="false" ht="96" hidden="false" customHeight="true" outlineLevel="0" collapsed="false">
      <c r="A22" s="16" t="n">
        <v>18</v>
      </c>
      <c r="B22" s="16" t="s">
        <v>1596</v>
      </c>
      <c r="C22" s="17" t="s">
        <v>1597</v>
      </c>
      <c r="D22" s="17" t="s">
        <v>1598</v>
      </c>
      <c r="E22" s="16" t="n">
        <v>2021</v>
      </c>
      <c r="F22" s="17" t="s">
        <v>445</v>
      </c>
      <c r="G22" s="16" t="s">
        <v>446</v>
      </c>
      <c r="H22" s="21" t="s">
        <v>11</v>
      </c>
      <c r="I22" s="17" t="s">
        <v>125</v>
      </c>
      <c r="J22" s="17" t="s">
        <v>1459</v>
      </c>
      <c r="K22" s="17" t="s">
        <v>1599</v>
      </c>
      <c r="L22" s="17" t="s">
        <v>1600</v>
      </c>
      <c r="M22" s="17" t="s">
        <v>1601</v>
      </c>
      <c r="N22" s="17" t="s">
        <v>1602</v>
      </c>
      <c r="O22" s="17" t="s">
        <v>1603</v>
      </c>
      <c r="P22" s="17" t="s">
        <v>1604</v>
      </c>
      <c r="Q22" s="17" t="s">
        <v>1605</v>
      </c>
      <c r="R22" s="16" t="s">
        <v>65</v>
      </c>
      <c r="S22" s="16"/>
      <c r="T22" s="19" t="s">
        <v>1606</v>
      </c>
      <c r="U22" s="19" t="s">
        <v>67</v>
      </c>
    </row>
    <row r="23" customFormat="false" ht="96" hidden="false" customHeight="true" outlineLevel="0" collapsed="false">
      <c r="A23" s="16" t="n">
        <v>19</v>
      </c>
      <c r="B23" s="16" t="s">
        <v>1607</v>
      </c>
      <c r="C23" s="17" t="s">
        <v>1608</v>
      </c>
      <c r="D23" s="17" t="s">
        <v>1609</v>
      </c>
      <c r="E23" s="16" t="n">
        <v>2021</v>
      </c>
      <c r="F23" s="17" t="s">
        <v>1610</v>
      </c>
      <c r="G23" s="16" t="s">
        <v>446</v>
      </c>
      <c r="H23" s="18" t="s">
        <v>23</v>
      </c>
      <c r="I23" s="17" t="s">
        <v>23</v>
      </c>
      <c r="J23" s="17" t="s">
        <v>1611</v>
      </c>
      <c r="K23" s="17" t="s">
        <v>1612</v>
      </c>
      <c r="L23" s="17" t="s">
        <v>1613</v>
      </c>
      <c r="M23" s="17" t="s">
        <v>1614</v>
      </c>
      <c r="N23" s="17" t="s">
        <v>1615</v>
      </c>
      <c r="O23" s="17" t="s">
        <v>76</v>
      </c>
      <c r="P23" s="17" t="s">
        <v>1616</v>
      </c>
      <c r="Q23" s="17" t="s">
        <v>1617</v>
      </c>
      <c r="R23" s="16" t="s">
        <v>65</v>
      </c>
      <c r="S23" s="16"/>
      <c r="T23" s="19" t="s">
        <v>1618</v>
      </c>
      <c r="U23" s="19" t="s">
        <v>67</v>
      </c>
    </row>
    <row r="24" customFormat="false" ht="96" hidden="false" customHeight="true" outlineLevel="0" collapsed="false">
      <c r="A24" s="16" t="n">
        <v>20</v>
      </c>
      <c r="B24" s="16" t="s">
        <v>1619</v>
      </c>
      <c r="C24" s="17" t="s">
        <v>1620</v>
      </c>
      <c r="D24" s="17" t="s">
        <v>1621</v>
      </c>
      <c r="E24" s="16" t="n">
        <v>2021</v>
      </c>
      <c r="F24" s="17" t="s">
        <v>661</v>
      </c>
      <c r="G24" s="16" t="s">
        <v>199</v>
      </c>
      <c r="H24" s="26" t="s">
        <v>17</v>
      </c>
      <c r="I24" s="17" t="s">
        <v>17</v>
      </c>
      <c r="J24" s="17" t="s">
        <v>1622</v>
      </c>
      <c r="K24" s="17" t="s">
        <v>1623</v>
      </c>
      <c r="L24" s="17" t="s">
        <v>1624</v>
      </c>
      <c r="M24" s="17" t="s">
        <v>1625</v>
      </c>
      <c r="N24" s="17" t="s">
        <v>1626</v>
      </c>
      <c r="O24" s="17" t="s">
        <v>979</v>
      </c>
      <c r="P24" s="17" t="s">
        <v>1627</v>
      </c>
      <c r="Q24" s="17" t="s">
        <v>1628</v>
      </c>
      <c r="R24" s="16" t="s">
        <v>65</v>
      </c>
      <c r="S24" s="16"/>
      <c r="T24" s="19" t="s">
        <v>1629</v>
      </c>
      <c r="U24" s="19" t="s">
        <v>67</v>
      </c>
    </row>
    <row r="25" customFormat="false" ht="96" hidden="false" customHeight="true" outlineLevel="0" collapsed="false">
      <c r="A25" s="16" t="n">
        <v>21</v>
      </c>
      <c r="B25" s="16" t="s">
        <v>1630</v>
      </c>
      <c r="C25" s="17" t="s">
        <v>1631</v>
      </c>
      <c r="D25" s="17" t="s">
        <v>1632</v>
      </c>
      <c r="E25" s="16" t="n">
        <v>2021</v>
      </c>
      <c r="F25" s="17" t="s">
        <v>661</v>
      </c>
      <c r="G25" s="16" t="s">
        <v>199</v>
      </c>
      <c r="H25" s="22" t="s">
        <v>9</v>
      </c>
      <c r="I25" s="17" t="s">
        <v>223</v>
      </c>
      <c r="J25" s="17" t="s">
        <v>279</v>
      </c>
      <c r="K25" s="17" t="s">
        <v>1633</v>
      </c>
      <c r="L25" s="17" t="s">
        <v>1634</v>
      </c>
      <c r="M25" s="17" t="s">
        <v>1635</v>
      </c>
      <c r="N25" s="17" t="s">
        <v>474</v>
      </c>
      <c r="O25" s="17" t="s">
        <v>1636</v>
      </c>
      <c r="P25" s="17" t="s">
        <v>1637</v>
      </c>
      <c r="Q25" s="17" t="s">
        <v>1638</v>
      </c>
      <c r="R25" s="16" t="s">
        <v>65</v>
      </c>
      <c r="S25" s="16"/>
      <c r="T25" s="19" t="s">
        <v>1639</v>
      </c>
      <c r="U25" s="19" t="s">
        <v>67</v>
      </c>
    </row>
    <row r="26" customFormat="false" ht="96" hidden="false" customHeight="true" outlineLevel="0" collapsed="false">
      <c r="A26" s="16" t="n">
        <v>22</v>
      </c>
      <c r="B26" s="16" t="s">
        <v>1640</v>
      </c>
      <c r="C26" s="17" t="s">
        <v>1641</v>
      </c>
      <c r="D26" s="17" t="s">
        <v>1642</v>
      </c>
      <c r="E26" s="16" t="n">
        <v>2021</v>
      </c>
      <c r="F26" s="17" t="s">
        <v>83</v>
      </c>
      <c r="G26" s="16" t="s">
        <v>84</v>
      </c>
      <c r="H26" s="20" t="s">
        <v>25</v>
      </c>
      <c r="I26" s="17" t="s">
        <v>72</v>
      </c>
      <c r="J26" s="17" t="s">
        <v>1643</v>
      </c>
      <c r="K26" s="17" t="s">
        <v>73</v>
      </c>
      <c r="L26" s="17" t="s">
        <v>1644</v>
      </c>
      <c r="M26" s="17" t="s">
        <v>1645</v>
      </c>
      <c r="N26" s="17" t="s">
        <v>76</v>
      </c>
      <c r="O26" s="17" t="s">
        <v>76</v>
      </c>
      <c r="P26" s="17" t="s">
        <v>1646</v>
      </c>
      <c r="Q26" s="17" t="s">
        <v>1647</v>
      </c>
      <c r="R26" s="16" t="s">
        <v>65</v>
      </c>
      <c r="S26" s="16"/>
      <c r="T26" s="19" t="s">
        <v>1648</v>
      </c>
      <c r="U26" s="19" t="s">
        <v>67</v>
      </c>
    </row>
    <row r="27" customFormat="false" ht="96" hidden="false" customHeight="true" outlineLevel="0" collapsed="false">
      <c r="A27" s="16" t="n">
        <v>23</v>
      </c>
      <c r="B27" s="16" t="s">
        <v>1649</v>
      </c>
      <c r="C27" s="17" t="s">
        <v>1650</v>
      </c>
      <c r="D27" s="17" t="s">
        <v>1651</v>
      </c>
      <c r="E27" s="16" t="n">
        <v>2021</v>
      </c>
      <c r="F27" s="17" t="s">
        <v>772</v>
      </c>
      <c r="G27" s="16" t="s">
        <v>84</v>
      </c>
      <c r="H27" s="26" t="s">
        <v>17</v>
      </c>
      <c r="I27" s="17" t="s">
        <v>17</v>
      </c>
      <c r="J27" s="17" t="s">
        <v>1652</v>
      </c>
      <c r="K27" s="17" t="s">
        <v>1653</v>
      </c>
      <c r="L27" s="17" t="s">
        <v>1654</v>
      </c>
      <c r="M27" s="17" t="s">
        <v>1655</v>
      </c>
      <c r="N27" s="17" t="s">
        <v>1656</v>
      </c>
      <c r="O27" s="17" t="s">
        <v>979</v>
      </c>
      <c r="P27" s="17" t="s">
        <v>1657</v>
      </c>
      <c r="Q27" s="17" t="s">
        <v>1658</v>
      </c>
      <c r="R27" s="16" t="s">
        <v>65</v>
      </c>
      <c r="S27" s="16"/>
      <c r="T27" s="19" t="s">
        <v>1659</v>
      </c>
      <c r="U27" s="19" t="s">
        <v>67</v>
      </c>
    </row>
    <row r="28" customFormat="false" ht="96" hidden="false" customHeight="true" outlineLevel="0" collapsed="false">
      <c r="A28" s="16" t="n">
        <v>24</v>
      </c>
      <c r="B28" s="16" t="s">
        <v>1660</v>
      </c>
      <c r="C28" s="17" t="s">
        <v>1661</v>
      </c>
      <c r="D28" s="17" t="s">
        <v>1662</v>
      </c>
      <c r="E28" s="16" t="n">
        <v>2021</v>
      </c>
      <c r="F28" s="17" t="s">
        <v>661</v>
      </c>
      <c r="G28" s="16" t="s">
        <v>199</v>
      </c>
      <c r="H28" s="23" t="s">
        <v>19</v>
      </c>
      <c r="I28" s="17" t="s">
        <v>328</v>
      </c>
      <c r="J28" s="17" t="s">
        <v>1663</v>
      </c>
      <c r="K28" s="17" t="s">
        <v>1664</v>
      </c>
      <c r="L28" s="17" t="s">
        <v>1665</v>
      </c>
      <c r="M28" s="17" t="s">
        <v>1666</v>
      </c>
      <c r="N28" s="17" t="s">
        <v>1667</v>
      </c>
      <c r="O28" s="17" t="s">
        <v>1668</v>
      </c>
      <c r="P28" s="17" t="s">
        <v>1669</v>
      </c>
      <c r="Q28" s="17" t="s">
        <v>1670</v>
      </c>
      <c r="R28" s="16" t="s">
        <v>103</v>
      </c>
      <c r="S28" s="19" t="s">
        <v>1671</v>
      </c>
      <c r="T28" s="19" t="s">
        <v>1672</v>
      </c>
      <c r="U28" s="19" t="s">
        <v>67</v>
      </c>
    </row>
    <row r="29" customFormat="false" ht="96" hidden="false" customHeight="true" outlineLevel="0" collapsed="false">
      <c r="A29" s="16" t="n">
        <v>25</v>
      </c>
      <c r="B29" s="16" t="s">
        <v>1673</v>
      </c>
      <c r="C29" s="17" t="s">
        <v>1674</v>
      </c>
      <c r="D29" s="17" t="s">
        <v>1675</v>
      </c>
      <c r="E29" s="16" t="n">
        <v>2021</v>
      </c>
      <c r="F29" s="17" t="s">
        <v>661</v>
      </c>
      <c r="G29" s="16" t="s">
        <v>199</v>
      </c>
      <c r="H29" s="21" t="s">
        <v>11</v>
      </c>
      <c r="I29" s="17" t="s">
        <v>125</v>
      </c>
      <c r="J29" s="17" t="s">
        <v>1676</v>
      </c>
      <c r="K29" s="17" t="s">
        <v>1677</v>
      </c>
      <c r="L29" s="17" t="s">
        <v>1678</v>
      </c>
      <c r="M29" s="17" t="s">
        <v>1679</v>
      </c>
      <c r="N29" s="17" t="s">
        <v>1680</v>
      </c>
      <c r="O29" s="17" t="s">
        <v>1681</v>
      </c>
      <c r="P29" s="17" t="s">
        <v>1682</v>
      </c>
      <c r="Q29" s="17" t="s">
        <v>1683</v>
      </c>
      <c r="R29" s="16" t="s">
        <v>103</v>
      </c>
      <c r="S29" s="19" t="s">
        <v>1684</v>
      </c>
      <c r="T29" s="19" t="s">
        <v>1685</v>
      </c>
      <c r="U29" s="19" t="s">
        <v>67</v>
      </c>
    </row>
    <row r="30" customFormat="false" ht="96" hidden="false" customHeight="true" outlineLevel="0" collapsed="false">
      <c r="A30" s="16" t="n">
        <v>26</v>
      </c>
      <c r="B30" s="16" t="s">
        <v>1686</v>
      </c>
      <c r="C30" s="17" t="s">
        <v>1687</v>
      </c>
      <c r="D30" s="17" t="s">
        <v>1688</v>
      </c>
      <c r="E30" s="16" t="n">
        <v>2021</v>
      </c>
      <c r="F30" s="17" t="s">
        <v>1689</v>
      </c>
      <c r="G30" s="16" t="s">
        <v>1164</v>
      </c>
      <c r="H30" s="23" t="s">
        <v>19</v>
      </c>
      <c r="I30" s="17" t="s">
        <v>328</v>
      </c>
      <c r="J30" s="17" t="s">
        <v>1690</v>
      </c>
      <c r="K30" s="17" t="s">
        <v>1691</v>
      </c>
      <c r="L30" s="17" t="s">
        <v>1692</v>
      </c>
      <c r="M30" s="17" t="s">
        <v>1693</v>
      </c>
      <c r="N30" s="17" t="s">
        <v>1694</v>
      </c>
      <c r="O30" s="17" t="s">
        <v>1695</v>
      </c>
      <c r="P30" s="17" t="s">
        <v>1696</v>
      </c>
      <c r="Q30" s="17" t="s">
        <v>1697</v>
      </c>
      <c r="R30" s="16" t="s">
        <v>65</v>
      </c>
      <c r="S30" s="16"/>
      <c r="T30" s="19" t="s">
        <v>1698</v>
      </c>
      <c r="U30" s="19" t="s">
        <v>67</v>
      </c>
    </row>
    <row r="31" customFormat="false" ht="96" hidden="false" customHeight="true" outlineLevel="0" collapsed="false">
      <c r="A31" s="16" t="n">
        <v>27</v>
      </c>
      <c r="B31" s="16" t="s">
        <v>1699</v>
      </c>
      <c r="C31" s="17" t="s">
        <v>1700</v>
      </c>
      <c r="D31" s="17" t="s">
        <v>1701</v>
      </c>
      <c r="E31" s="16" t="n">
        <v>2021</v>
      </c>
      <c r="F31" s="17" t="s">
        <v>605</v>
      </c>
      <c r="G31" s="16" t="s">
        <v>148</v>
      </c>
      <c r="H31" s="21" t="s">
        <v>13</v>
      </c>
      <c r="I31" s="17" t="s">
        <v>125</v>
      </c>
      <c r="J31" s="17" t="s">
        <v>1702</v>
      </c>
      <c r="K31" s="17" t="s">
        <v>1703</v>
      </c>
      <c r="L31" s="17" t="s">
        <v>1704</v>
      </c>
      <c r="M31" s="17" t="s">
        <v>1705</v>
      </c>
      <c r="N31" s="17" t="s">
        <v>1706</v>
      </c>
      <c r="O31" s="17" t="s">
        <v>1707</v>
      </c>
      <c r="P31" s="17" t="s">
        <v>1708</v>
      </c>
      <c r="Q31" s="17" t="s">
        <v>1709</v>
      </c>
      <c r="R31" s="16" t="s">
        <v>103</v>
      </c>
      <c r="S31" s="19" t="s">
        <v>1710</v>
      </c>
      <c r="T31" s="19" t="s">
        <v>1711</v>
      </c>
      <c r="U31" s="19" t="s">
        <v>67</v>
      </c>
    </row>
  </sheetData>
  <autoFilter ref="A4:U31"/>
  <hyperlinks>
    <hyperlink ref="T5" r:id="rId1" display="https://arxiv.org/abs/2102.00813"/>
    <hyperlink ref="U5" r:id="rId2" display="Search"/>
    <hyperlink ref="S6" r:id="rId3" display="https://github.com/TencentYoutuResearch/Adv-Makeup"/>
    <hyperlink ref="T6" r:id="rId4" display="https://arxiv.org/abs/2105.03162"/>
    <hyperlink ref="U6" r:id="rId5" display="Search"/>
    <hyperlink ref="S7" r:id="rId6" display="https://github.com/lhfowl/adversarial_poisons"/>
    <hyperlink ref="T7" r:id="rId7" display="https://arxiv.org/abs/2106.10807"/>
    <hyperlink ref="U7" r:id="rId8" display="Search"/>
    <hyperlink ref="T8" r:id="rId9" display="https://arxiv.org/abs/2103.07073"/>
    <hyperlink ref="U8" r:id="rId10" display="Search"/>
    <hyperlink ref="T9" r:id="rId11" display="https://exposing.ai"/>
    <hyperlink ref="U9" r:id="rId12" display="Search"/>
    <hyperlink ref="S10" r:id="rId13" display="https://github.com/wi-pi/face-off"/>
    <hyperlink ref="T10" r:id="rId14" display="https://doi.org/10.2478/popets-2021-0032"/>
    <hyperlink ref="U10" r:id="rId15" display="Search"/>
    <hyperlink ref="T11" r:id="rId16" display="https://arxiv.org/abs/2104.03008"/>
    <hyperlink ref="U11" r:id="rId17" display="Search"/>
    <hyperlink ref="S12" r:id="rId18" display="https://github.com/evtimovi/foggysight"/>
    <hyperlink ref="T12" r:id="rId19" display="https://doi.org/10.2478/popets-2021-0044"/>
    <hyperlink ref="U12" r:id="rId20" display="Search"/>
    <hyperlink ref="T13" r:id="rId21" display="https://doi.org/10.1145/3474085.3475367"/>
    <hyperlink ref="U13" r:id="rId22" display="Search"/>
    <hyperlink ref="T14" r:id="rId23" display="https://arxiv.org/abs/2106.15058"/>
    <hyperlink ref="U14" r:id="rId24" display="Search"/>
    <hyperlink ref="T15" r:id="rId25" display="https://arxiv.org/abs/2104.02239"/>
    <hyperlink ref="U15" r:id="rId26" display="Search"/>
    <hyperlink ref="T16" r:id="rId27" display="https://arxiv.org/abs/2011.05315"/>
    <hyperlink ref="U16" r:id="rId28" display="Search"/>
    <hyperlink ref="T17" r:id="rId29" display="https://arxiv.org/abs/2006.16923"/>
    <hyperlink ref="U17" r:id="rId30" display="Search"/>
    <hyperlink ref="S18" r:id="rId31" display="https://github.com/carlosh93/privacy-optics-hpe"/>
    <hyperlink ref="T18" r:id="rId32" display="https://openaccess.thecvf.com/content/ICCV2021/html/Hinojosa_Learning_Privacy-Preserving_Optics_for_Human_Pose_Estimation_ICCV_2021_paper.html"/>
    <hyperlink ref="U18" r:id="rId33" display="Search"/>
    <hyperlink ref="S19" r:id="rId34" display="https://lowkey.umiacs.umd.edu"/>
    <hyperlink ref="T19" r:id="rId35" display="https://arxiv.org/abs/2101.07922"/>
    <hyperlink ref="U19" r:id="rId36" display="Search"/>
    <hyperlink ref="S20" r:id="rId37" display="https://github.com/cleverhans-lab/machine-unlearning"/>
    <hyperlink ref="T20" r:id="rId38" display="https://arxiv.org/abs/1912.03817"/>
    <hyperlink ref="U20" r:id="rId39" display="Search"/>
    <hyperlink ref="T21" r:id="rId40" display="https://doi.org/10.1007/s12083-021-01091-9"/>
    <hyperlink ref="U21" r:id="rId41" display="Search"/>
    <hyperlink ref="T22" r:id="rId42" display="https://doi.org/10.2478/popets-2021-0006"/>
    <hyperlink ref="U22" r:id="rId43" display="Search"/>
    <hyperlink ref="T23" r:id="rId44" display="https://arxiv.org/abs/2102.11502"/>
    <hyperlink ref="U23" r:id="rId45" display="Search"/>
    <hyperlink ref="T24" r:id="rId46" display="https://arxiv.org/abs/2108.03764"/>
    <hyperlink ref="U24" r:id="rId47" display="Search"/>
    <hyperlink ref="T25" r:id="rId48" display="https://openaccess.thecvf.com/content/ICCV2021/html/Cao_Personalized_and_Invertible_Face_De-Identification_by_Disentangled_Identity_Information_Manipulation_ICCV_2021_paper.html"/>
    <hyperlink ref="U25" r:id="rId49" display="Search"/>
    <hyperlink ref="T26" r:id="rId50" display="https://doi.org/10.1109/TIFS.2021.3096024"/>
    <hyperlink ref="U26" r:id="rId51" display="Search"/>
    <hyperlink ref="T27" r:id="rId52" display="https://arxiv.org/abs/1902.00334"/>
    <hyperlink ref="U27" r:id="rId53" display="Search"/>
    <hyperlink ref="S28" r:id="rId54" display="https://github.com/haibo-qiu/SynFace"/>
    <hyperlink ref="T28" r:id="rId55" display="https://arxiv.org/abs/2108.07960"/>
    <hyperlink ref="U28" r:id="rId56" display="Search"/>
    <hyperlink ref="S29" r:id="rId57" display="https://github.com/ShawnXYang/TIP-IM"/>
    <hyperlink ref="T29" r:id="rId58" display="https://arxiv.org/abs/2003.06814"/>
    <hyperlink ref="U29" r:id="rId59" display="Search"/>
    <hyperlink ref="T30" r:id="rId60" display="https://arxiv.org/abs/2104.02821"/>
    <hyperlink ref="U30" r:id="rId61" display="Search"/>
    <hyperlink ref="S31" r:id="rId62" display="https://github.com/HanxunH/Unlearnable-Examples"/>
    <hyperlink ref="T31" r:id="rId63" display="https://arxiv.org/abs/2101.04898"/>
    <hyperlink ref="U31" r:id="rId64"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2686</v>
      </c>
    </row>
    <row r="2" customFormat="false" ht="15" hidden="false" customHeight="false" outlineLevel="0" collapsed="false">
      <c r="A2" s="14" t="s">
        <v>2703</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1125</v>
      </c>
      <c r="C5" s="17" t="s">
        <v>1126</v>
      </c>
      <c r="D5" s="17" t="s">
        <v>1127</v>
      </c>
      <c r="E5" s="16" t="n">
        <v>2022</v>
      </c>
      <c r="F5" s="17" t="s">
        <v>71</v>
      </c>
      <c r="G5" s="16" t="s">
        <v>56</v>
      </c>
      <c r="H5" s="23" t="s">
        <v>21</v>
      </c>
      <c r="I5" s="17" t="s">
        <v>328</v>
      </c>
      <c r="J5" s="17" t="s">
        <v>73</v>
      </c>
      <c r="K5" s="17" t="s">
        <v>73</v>
      </c>
      <c r="L5" s="17" t="s">
        <v>1128</v>
      </c>
      <c r="M5" s="17" t="s">
        <v>1129</v>
      </c>
      <c r="N5" s="17" t="s">
        <v>76</v>
      </c>
      <c r="O5" s="17" t="s">
        <v>76</v>
      </c>
      <c r="P5" s="17" t="s">
        <v>1130</v>
      </c>
      <c r="Q5" s="17" t="s">
        <v>1131</v>
      </c>
      <c r="R5" s="16" t="s">
        <v>103</v>
      </c>
      <c r="S5" s="19" t="s">
        <v>1132</v>
      </c>
      <c r="T5" s="19" t="s">
        <v>1133</v>
      </c>
      <c r="U5" s="19" t="s">
        <v>67</v>
      </c>
    </row>
    <row r="6" customFormat="false" ht="96" hidden="false" customHeight="true" outlineLevel="0" collapsed="false">
      <c r="A6" s="16" t="n">
        <v>2</v>
      </c>
      <c r="B6" s="16" t="s">
        <v>1134</v>
      </c>
      <c r="C6" s="17" t="s">
        <v>1135</v>
      </c>
      <c r="D6" s="17" t="s">
        <v>1136</v>
      </c>
      <c r="E6" s="16" t="n">
        <v>2022</v>
      </c>
      <c r="F6" s="17" t="s">
        <v>1137</v>
      </c>
      <c r="G6" s="16" t="s">
        <v>148</v>
      </c>
      <c r="H6" s="21" t="s">
        <v>11</v>
      </c>
      <c r="I6" s="17" t="s">
        <v>125</v>
      </c>
      <c r="J6" s="17" t="s">
        <v>1138</v>
      </c>
      <c r="K6" s="17" t="s">
        <v>1139</v>
      </c>
      <c r="L6" s="17" t="s">
        <v>1140</v>
      </c>
      <c r="M6" s="17" t="s">
        <v>1141</v>
      </c>
      <c r="N6" s="17" t="s">
        <v>1142</v>
      </c>
      <c r="O6" s="17" t="s">
        <v>1143</v>
      </c>
      <c r="P6" s="17" t="s">
        <v>1144</v>
      </c>
      <c r="Q6" s="17" t="s">
        <v>1145</v>
      </c>
      <c r="R6" s="16" t="s">
        <v>103</v>
      </c>
      <c r="S6" s="19" t="s">
        <v>1146</v>
      </c>
      <c r="T6" s="19" t="s">
        <v>1147</v>
      </c>
      <c r="U6" s="19" t="s">
        <v>67</v>
      </c>
    </row>
    <row r="7" customFormat="false" ht="96" hidden="false" customHeight="true" outlineLevel="0" collapsed="false">
      <c r="A7" s="16" t="n">
        <v>3</v>
      </c>
      <c r="B7" s="16" t="s">
        <v>1148</v>
      </c>
      <c r="C7" s="17" t="s">
        <v>1149</v>
      </c>
      <c r="D7" s="17" t="s">
        <v>1150</v>
      </c>
      <c r="E7" s="16" t="n">
        <v>2022</v>
      </c>
      <c r="F7" s="17" t="s">
        <v>772</v>
      </c>
      <c r="G7" s="16" t="s">
        <v>84</v>
      </c>
      <c r="H7" s="21" t="s">
        <v>11</v>
      </c>
      <c r="I7" s="17" t="s">
        <v>125</v>
      </c>
      <c r="J7" s="17" t="s">
        <v>114</v>
      </c>
      <c r="K7" s="17" t="s">
        <v>1151</v>
      </c>
      <c r="L7" s="17" t="s">
        <v>1152</v>
      </c>
      <c r="M7" s="17" t="s">
        <v>1153</v>
      </c>
      <c r="N7" s="17" t="s">
        <v>1154</v>
      </c>
      <c r="O7" s="17" t="s">
        <v>1155</v>
      </c>
      <c r="P7" s="17" t="s">
        <v>1156</v>
      </c>
      <c r="Q7" s="17" t="s">
        <v>1157</v>
      </c>
      <c r="R7" s="16" t="s">
        <v>103</v>
      </c>
      <c r="S7" s="19" t="s">
        <v>1158</v>
      </c>
      <c r="T7" s="19" t="s">
        <v>1159</v>
      </c>
      <c r="U7" s="19" t="s">
        <v>67</v>
      </c>
    </row>
    <row r="8" customFormat="false" ht="96" hidden="false" customHeight="true" outlineLevel="0" collapsed="false">
      <c r="A8" s="16" t="n">
        <v>4</v>
      </c>
      <c r="B8" s="16" t="s">
        <v>1160</v>
      </c>
      <c r="C8" s="17" t="s">
        <v>1161</v>
      </c>
      <c r="D8" s="17" t="s">
        <v>1162</v>
      </c>
      <c r="E8" s="16" t="n">
        <v>2022</v>
      </c>
      <c r="F8" s="17" t="s">
        <v>1163</v>
      </c>
      <c r="G8" s="16" t="s">
        <v>1164</v>
      </c>
      <c r="H8" s="18" t="s">
        <v>23</v>
      </c>
      <c r="I8" s="17" t="s">
        <v>23</v>
      </c>
      <c r="J8" s="17" t="s">
        <v>114</v>
      </c>
      <c r="K8" s="17" t="s">
        <v>1165</v>
      </c>
      <c r="L8" s="17" t="s">
        <v>1166</v>
      </c>
      <c r="M8" s="17" t="s">
        <v>1167</v>
      </c>
      <c r="N8" s="17" t="s">
        <v>1168</v>
      </c>
      <c r="O8" s="17" t="s">
        <v>76</v>
      </c>
      <c r="P8" s="17" t="s">
        <v>1169</v>
      </c>
      <c r="Q8" s="17" t="s">
        <v>1170</v>
      </c>
      <c r="R8" s="16" t="s">
        <v>65</v>
      </c>
      <c r="S8" s="16"/>
      <c r="T8" s="19" t="s">
        <v>1171</v>
      </c>
      <c r="U8" s="19" t="s">
        <v>67</v>
      </c>
    </row>
    <row r="9" customFormat="false" ht="96" hidden="false" customHeight="true" outlineLevel="0" collapsed="false">
      <c r="A9" s="16" t="n">
        <v>5</v>
      </c>
      <c r="B9" s="16" t="s">
        <v>1172</v>
      </c>
      <c r="C9" s="17" t="s">
        <v>1173</v>
      </c>
      <c r="D9" s="17" t="s">
        <v>1174</v>
      </c>
      <c r="E9" s="16" t="n">
        <v>2022</v>
      </c>
      <c r="F9" s="17" t="s">
        <v>907</v>
      </c>
      <c r="G9" s="16" t="s">
        <v>148</v>
      </c>
      <c r="H9" s="21" t="s">
        <v>13</v>
      </c>
      <c r="I9" s="17" t="s">
        <v>125</v>
      </c>
      <c r="J9" s="17" t="s">
        <v>1175</v>
      </c>
      <c r="K9" s="17" t="s">
        <v>1097</v>
      </c>
      <c r="L9" s="17" t="s">
        <v>1176</v>
      </c>
      <c r="M9" s="17" t="s">
        <v>1177</v>
      </c>
      <c r="N9" s="17" t="s">
        <v>1178</v>
      </c>
      <c r="O9" s="17" t="s">
        <v>549</v>
      </c>
      <c r="P9" s="17" t="s">
        <v>1179</v>
      </c>
      <c r="Q9" s="17" t="s">
        <v>1180</v>
      </c>
      <c r="R9" s="16" t="s">
        <v>103</v>
      </c>
      <c r="S9" s="19" t="s">
        <v>1181</v>
      </c>
      <c r="T9" s="19" t="s">
        <v>1182</v>
      </c>
      <c r="U9" s="19" t="s">
        <v>67</v>
      </c>
    </row>
    <row r="10" customFormat="false" ht="96" hidden="false" customHeight="true" outlineLevel="0" collapsed="false">
      <c r="A10" s="16" t="n">
        <v>6</v>
      </c>
      <c r="B10" s="16" t="s">
        <v>1183</v>
      </c>
      <c r="C10" s="17" t="s">
        <v>1184</v>
      </c>
      <c r="D10" s="17" t="s">
        <v>1185</v>
      </c>
      <c r="E10" s="16" t="n">
        <v>2022</v>
      </c>
      <c r="F10" s="17" t="s">
        <v>1186</v>
      </c>
      <c r="G10" s="16" t="s">
        <v>148</v>
      </c>
      <c r="H10" s="21" t="s">
        <v>13</v>
      </c>
      <c r="I10" s="17" t="s">
        <v>125</v>
      </c>
      <c r="J10" s="17" t="s">
        <v>631</v>
      </c>
      <c r="K10" s="17" t="s">
        <v>1086</v>
      </c>
      <c r="L10" s="17" t="s">
        <v>1187</v>
      </c>
      <c r="M10" s="17" t="s">
        <v>1188</v>
      </c>
      <c r="N10" s="17" t="s">
        <v>1178</v>
      </c>
      <c r="O10" s="17" t="s">
        <v>549</v>
      </c>
      <c r="P10" s="17" t="s">
        <v>1189</v>
      </c>
      <c r="Q10" s="17" t="s">
        <v>1190</v>
      </c>
      <c r="R10" s="16" t="s">
        <v>103</v>
      </c>
      <c r="S10" s="19" t="s">
        <v>1191</v>
      </c>
      <c r="T10" s="19" t="s">
        <v>1192</v>
      </c>
      <c r="U10" s="19" t="s">
        <v>67</v>
      </c>
    </row>
    <row r="11" customFormat="false" ht="96" hidden="false" customHeight="true" outlineLevel="0" collapsed="false">
      <c r="A11" s="16" t="n">
        <v>7</v>
      </c>
      <c r="B11" s="16" t="s">
        <v>1193</v>
      </c>
      <c r="C11" s="17" t="s">
        <v>1194</v>
      </c>
      <c r="D11" s="17" t="s">
        <v>1195</v>
      </c>
      <c r="E11" s="16" t="n">
        <v>2022</v>
      </c>
      <c r="F11" s="17" t="s">
        <v>327</v>
      </c>
      <c r="G11" s="16" t="s">
        <v>148</v>
      </c>
      <c r="H11" s="18" t="s">
        <v>23</v>
      </c>
      <c r="I11" s="17" t="s">
        <v>23</v>
      </c>
      <c r="J11" s="17" t="s">
        <v>1196</v>
      </c>
      <c r="K11" s="17" t="s">
        <v>1197</v>
      </c>
      <c r="L11" s="17" t="s">
        <v>1198</v>
      </c>
      <c r="M11" s="17" t="s">
        <v>1199</v>
      </c>
      <c r="N11" s="17" t="s">
        <v>1200</v>
      </c>
      <c r="O11" s="17" t="s">
        <v>76</v>
      </c>
      <c r="P11" s="17" t="s">
        <v>1201</v>
      </c>
      <c r="Q11" s="17" t="s">
        <v>1202</v>
      </c>
      <c r="R11" s="16" t="s">
        <v>103</v>
      </c>
      <c r="S11" s="19" t="s">
        <v>1203</v>
      </c>
      <c r="T11" s="19" t="s">
        <v>1204</v>
      </c>
      <c r="U11" s="19" t="s">
        <v>67</v>
      </c>
    </row>
    <row r="12" customFormat="false" ht="96" hidden="false" customHeight="true" outlineLevel="0" collapsed="false">
      <c r="A12" s="16" t="n">
        <v>8</v>
      </c>
      <c r="B12" s="16" t="s">
        <v>1205</v>
      </c>
      <c r="C12" s="17" t="s">
        <v>1206</v>
      </c>
      <c r="D12" s="17" t="s">
        <v>1207</v>
      </c>
      <c r="E12" s="16" t="n">
        <v>2022</v>
      </c>
      <c r="F12" s="17" t="s">
        <v>1208</v>
      </c>
      <c r="G12" s="16" t="s">
        <v>84</v>
      </c>
      <c r="H12" s="24" t="s">
        <v>15</v>
      </c>
      <c r="I12" s="17" t="s">
        <v>592</v>
      </c>
      <c r="J12" s="17" t="s">
        <v>1209</v>
      </c>
      <c r="K12" s="17" t="s">
        <v>1210</v>
      </c>
      <c r="L12" s="17" t="s">
        <v>1211</v>
      </c>
      <c r="M12" s="17" t="s">
        <v>1212</v>
      </c>
      <c r="N12" s="17" t="s">
        <v>1213</v>
      </c>
      <c r="O12" s="17" t="s">
        <v>1214</v>
      </c>
      <c r="P12" s="17" t="s">
        <v>1215</v>
      </c>
      <c r="Q12" s="17" t="s">
        <v>1216</v>
      </c>
      <c r="R12" s="16" t="s">
        <v>65</v>
      </c>
      <c r="S12" s="16"/>
      <c r="T12" s="19" t="s">
        <v>1217</v>
      </c>
      <c r="U12" s="19" t="s">
        <v>67</v>
      </c>
    </row>
    <row r="13" customFormat="false" ht="96" hidden="false" customHeight="true" outlineLevel="0" collapsed="false">
      <c r="A13" s="16" t="n">
        <v>9</v>
      </c>
      <c r="B13" s="16" t="s">
        <v>1218</v>
      </c>
      <c r="C13" s="17" t="s">
        <v>1219</v>
      </c>
      <c r="D13" s="17" t="s">
        <v>1220</v>
      </c>
      <c r="E13" s="16" t="n">
        <v>2022</v>
      </c>
      <c r="F13" s="17" t="s">
        <v>1221</v>
      </c>
      <c r="G13" s="16" t="s">
        <v>84</v>
      </c>
      <c r="H13" s="25" t="s">
        <v>7</v>
      </c>
      <c r="I13" s="17" t="s">
        <v>811</v>
      </c>
      <c r="J13" s="17" t="s">
        <v>1222</v>
      </c>
      <c r="K13" s="17" t="s">
        <v>1223</v>
      </c>
      <c r="L13" s="17" t="s">
        <v>1224</v>
      </c>
      <c r="M13" s="17" t="s">
        <v>1225</v>
      </c>
      <c r="N13" s="17" t="s">
        <v>1226</v>
      </c>
      <c r="O13" s="17" t="s">
        <v>1227</v>
      </c>
      <c r="P13" s="17" t="s">
        <v>1228</v>
      </c>
      <c r="Q13" s="17" t="s">
        <v>1229</v>
      </c>
      <c r="R13" s="16" t="s">
        <v>65</v>
      </c>
      <c r="S13" s="16"/>
      <c r="T13" s="19" t="s">
        <v>1230</v>
      </c>
      <c r="U13" s="19" t="s">
        <v>67</v>
      </c>
    </row>
    <row r="14" customFormat="false" ht="96" hidden="false" customHeight="true" outlineLevel="0" collapsed="false">
      <c r="A14" s="16" t="n">
        <v>10</v>
      </c>
      <c r="B14" s="16" t="s">
        <v>1231</v>
      </c>
      <c r="C14" s="17" t="s">
        <v>1232</v>
      </c>
      <c r="D14" s="17" t="s">
        <v>1233</v>
      </c>
      <c r="E14" s="16" t="n">
        <v>2022</v>
      </c>
      <c r="F14" s="17" t="s">
        <v>198</v>
      </c>
      <c r="G14" s="16" t="s">
        <v>199</v>
      </c>
      <c r="H14" s="24" t="s">
        <v>15</v>
      </c>
      <c r="I14" s="17" t="s">
        <v>592</v>
      </c>
      <c r="J14" s="17" t="s">
        <v>593</v>
      </c>
      <c r="K14" s="17" t="s">
        <v>1234</v>
      </c>
      <c r="L14" s="17" t="s">
        <v>1235</v>
      </c>
      <c r="M14" s="17" t="s">
        <v>1236</v>
      </c>
      <c r="N14" s="17" t="s">
        <v>1237</v>
      </c>
      <c r="O14" s="17" t="s">
        <v>334</v>
      </c>
      <c r="P14" s="17" t="s">
        <v>1238</v>
      </c>
      <c r="Q14" s="17" t="s">
        <v>1239</v>
      </c>
      <c r="R14" s="16" t="s">
        <v>103</v>
      </c>
      <c r="S14" s="19" t="s">
        <v>600</v>
      </c>
      <c r="T14" s="19" t="s">
        <v>1240</v>
      </c>
      <c r="U14" s="19" t="s">
        <v>67</v>
      </c>
    </row>
    <row r="15" customFormat="false" ht="96" hidden="false" customHeight="true" outlineLevel="0" collapsed="false">
      <c r="A15" s="16" t="n">
        <v>11</v>
      </c>
      <c r="B15" s="16" t="s">
        <v>1241</v>
      </c>
      <c r="C15" s="17" t="s">
        <v>1242</v>
      </c>
      <c r="D15" s="17" t="s">
        <v>1243</v>
      </c>
      <c r="E15" s="16" t="n">
        <v>2022</v>
      </c>
      <c r="F15" s="17" t="s">
        <v>388</v>
      </c>
      <c r="G15" s="16" t="s">
        <v>148</v>
      </c>
      <c r="H15" s="23" t="s">
        <v>19</v>
      </c>
      <c r="I15" s="17" t="s">
        <v>328</v>
      </c>
      <c r="J15" s="17" t="s">
        <v>1244</v>
      </c>
      <c r="K15" s="17" t="s">
        <v>1245</v>
      </c>
      <c r="L15" s="17" t="s">
        <v>1246</v>
      </c>
      <c r="M15" s="17" t="s">
        <v>1247</v>
      </c>
      <c r="N15" s="17" t="s">
        <v>1248</v>
      </c>
      <c r="O15" s="17" t="s">
        <v>334</v>
      </c>
      <c r="P15" s="17" t="s">
        <v>1249</v>
      </c>
      <c r="Q15" s="17" t="s">
        <v>1250</v>
      </c>
      <c r="R15" s="16" t="s">
        <v>103</v>
      </c>
      <c r="S15" s="19" t="s">
        <v>1251</v>
      </c>
      <c r="T15" s="19" t="s">
        <v>1252</v>
      </c>
      <c r="U15" s="19" t="s">
        <v>67</v>
      </c>
    </row>
    <row r="16" customFormat="false" ht="96" hidden="false" customHeight="true" outlineLevel="0" collapsed="false">
      <c r="A16" s="16" t="n">
        <v>12</v>
      </c>
      <c r="B16" s="16" t="s">
        <v>1253</v>
      </c>
      <c r="C16" s="17" t="s">
        <v>1254</v>
      </c>
      <c r="D16" s="17" t="s">
        <v>1255</v>
      </c>
      <c r="E16" s="16" t="n">
        <v>2022</v>
      </c>
      <c r="F16" s="17" t="s">
        <v>388</v>
      </c>
      <c r="G16" s="16" t="s">
        <v>148</v>
      </c>
      <c r="H16" s="23" t="s">
        <v>19</v>
      </c>
      <c r="I16" s="17" t="s">
        <v>328</v>
      </c>
      <c r="J16" s="17" t="s">
        <v>1256</v>
      </c>
      <c r="K16" s="17" t="s">
        <v>1245</v>
      </c>
      <c r="L16" s="17" t="s">
        <v>1257</v>
      </c>
      <c r="M16" s="17" t="s">
        <v>1258</v>
      </c>
      <c r="N16" s="17" t="s">
        <v>1248</v>
      </c>
      <c r="O16" s="17" t="s">
        <v>334</v>
      </c>
      <c r="P16" s="17" t="s">
        <v>1259</v>
      </c>
      <c r="Q16" s="17" t="s">
        <v>1260</v>
      </c>
      <c r="R16" s="16" t="s">
        <v>65</v>
      </c>
      <c r="S16" s="16"/>
      <c r="T16" s="19" t="s">
        <v>1261</v>
      </c>
      <c r="U16" s="19" t="s">
        <v>67</v>
      </c>
    </row>
    <row r="17" customFormat="false" ht="96" hidden="false" customHeight="true" outlineLevel="0" collapsed="false">
      <c r="A17" s="16" t="n">
        <v>13</v>
      </c>
      <c r="B17" s="16" t="s">
        <v>1262</v>
      </c>
      <c r="C17" s="17" t="s">
        <v>1263</v>
      </c>
      <c r="D17" s="17" t="s">
        <v>1264</v>
      </c>
      <c r="E17" s="16" t="n">
        <v>2022</v>
      </c>
      <c r="F17" s="17" t="s">
        <v>1163</v>
      </c>
      <c r="G17" s="16" t="s">
        <v>1164</v>
      </c>
      <c r="H17" s="24" t="s">
        <v>15</v>
      </c>
      <c r="I17" s="17" t="s">
        <v>592</v>
      </c>
      <c r="J17" s="17" t="s">
        <v>1265</v>
      </c>
      <c r="K17" s="17" t="s">
        <v>1266</v>
      </c>
      <c r="L17" s="17" t="s">
        <v>1267</v>
      </c>
      <c r="M17" s="17" t="s">
        <v>1268</v>
      </c>
      <c r="N17" s="17" t="s">
        <v>1269</v>
      </c>
      <c r="O17" s="17" t="s">
        <v>1270</v>
      </c>
      <c r="P17" s="17" t="s">
        <v>1271</v>
      </c>
      <c r="Q17" s="17" t="s">
        <v>1272</v>
      </c>
      <c r="R17" s="16" t="s">
        <v>103</v>
      </c>
      <c r="S17" s="19" t="s">
        <v>1273</v>
      </c>
      <c r="T17" s="19" t="s">
        <v>1274</v>
      </c>
      <c r="U17" s="19" t="s">
        <v>67</v>
      </c>
    </row>
    <row r="18" customFormat="false" ht="96" hidden="false" customHeight="true" outlineLevel="0" collapsed="false">
      <c r="A18" s="16" t="n">
        <v>14</v>
      </c>
      <c r="B18" s="16" t="s">
        <v>1275</v>
      </c>
      <c r="C18" s="17" t="s">
        <v>1276</v>
      </c>
      <c r="D18" s="17" t="s">
        <v>641</v>
      </c>
      <c r="E18" s="16" t="n">
        <v>2022</v>
      </c>
      <c r="F18" s="17" t="s">
        <v>1277</v>
      </c>
      <c r="G18" s="16" t="s">
        <v>1164</v>
      </c>
      <c r="H18" s="24" t="s">
        <v>15</v>
      </c>
      <c r="I18" s="17" t="s">
        <v>592</v>
      </c>
      <c r="J18" s="17" t="s">
        <v>57</v>
      </c>
      <c r="K18" s="17" t="s">
        <v>1278</v>
      </c>
      <c r="L18" s="17" t="s">
        <v>1279</v>
      </c>
      <c r="M18" s="17" t="s">
        <v>1280</v>
      </c>
      <c r="N18" s="17" t="s">
        <v>1281</v>
      </c>
      <c r="O18" s="17" t="s">
        <v>1282</v>
      </c>
      <c r="P18" s="17" t="s">
        <v>1283</v>
      </c>
      <c r="Q18" s="17" t="s">
        <v>1284</v>
      </c>
      <c r="R18" s="16" t="s">
        <v>65</v>
      </c>
      <c r="S18" s="16"/>
      <c r="T18" s="19" t="s">
        <v>1285</v>
      </c>
      <c r="U18" s="19" t="s">
        <v>67</v>
      </c>
    </row>
    <row r="19" customFormat="false" ht="96" hidden="false" customHeight="true" outlineLevel="0" collapsed="false">
      <c r="A19" s="16" t="n">
        <v>15</v>
      </c>
      <c r="B19" s="16" t="s">
        <v>1286</v>
      </c>
      <c r="C19" s="17" t="s">
        <v>1287</v>
      </c>
      <c r="D19" s="17" t="s">
        <v>1288</v>
      </c>
      <c r="E19" s="16" t="n">
        <v>2022</v>
      </c>
      <c r="F19" s="17" t="s">
        <v>1289</v>
      </c>
      <c r="G19" s="16" t="s">
        <v>162</v>
      </c>
      <c r="H19" s="24" t="s">
        <v>15</v>
      </c>
      <c r="I19" s="17" t="s">
        <v>592</v>
      </c>
      <c r="J19" s="17" t="s">
        <v>1290</v>
      </c>
      <c r="K19" s="17" t="s">
        <v>1109</v>
      </c>
      <c r="L19" s="17" t="s">
        <v>1291</v>
      </c>
      <c r="M19" s="17" t="s">
        <v>1292</v>
      </c>
      <c r="N19" s="17" t="s">
        <v>1293</v>
      </c>
      <c r="O19" s="17" t="s">
        <v>76</v>
      </c>
      <c r="P19" s="17" t="s">
        <v>1294</v>
      </c>
      <c r="Q19" s="17" t="s">
        <v>1295</v>
      </c>
      <c r="R19" s="16" t="s">
        <v>65</v>
      </c>
      <c r="S19" s="16"/>
      <c r="T19" s="19" t="s">
        <v>1296</v>
      </c>
      <c r="U19" s="19" t="s">
        <v>67</v>
      </c>
    </row>
    <row r="20" customFormat="false" ht="96" hidden="false" customHeight="true" outlineLevel="0" collapsed="false">
      <c r="A20" s="16" t="n">
        <v>16</v>
      </c>
      <c r="B20" s="16" t="s">
        <v>1297</v>
      </c>
      <c r="C20" s="17" t="s">
        <v>1298</v>
      </c>
      <c r="D20" s="17" t="s">
        <v>1299</v>
      </c>
      <c r="E20" s="16" t="n">
        <v>2022</v>
      </c>
      <c r="F20" s="17" t="s">
        <v>1300</v>
      </c>
      <c r="G20" s="16" t="s">
        <v>84</v>
      </c>
      <c r="H20" s="25" t="s">
        <v>7</v>
      </c>
      <c r="I20" s="17" t="s">
        <v>811</v>
      </c>
      <c r="J20" s="17" t="s">
        <v>97</v>
      </c>
      <c r="K20" s="17" t="s">
        <v>1301</v>
      </c>
      <c r="L20" s="17" t="s">
        <v>1302</v>
      </c>
      <c r="M20" s="17" t="s">
        <v>1303</v>
      </c>
      <c r="N20" s="17" t="s">
        <v>1304</v>
      </c>
      <c r="O20" s="17" t="s">
        <v>1305</v>
      </c>
      <c r="P20" s="17" t="s">
        <v>1306</v>
      </c>
      <c r="Q20" s="17" t="s">
        <v>1307</v>
      </c>
      <c r="R20" s="16" t="s">
        <v>65</v>
      </c>
      <c r="S20" s="16"/>
      <c r="T20" s="19" t="s">
        <v>1308</v>
      </c>
      <c r="U20" s="19" t="s">
        <v>67</v>
      </c>
    </row>
    <row r="21" customFormat="false" ht="96" hidden="false" customHeight="true" outlineLevel="0" collapsed="false">
      <c r="A21" s="16" t="n">
        <v>17</v>
      </c>
      <c r="B21" s="16" t="s">
        <v>1309</v>
      </c>
      <c r="C21" s="17" t="s">
        <v>1310</v>
      </c>
      <c r="D21" s="17" t="s">
        <v>1311</v>
      </c>
      <c r="E21" s="16" t="n">
        <v>2022</v>
      </c>
      <c r="F21" s="17" t="s">
        <v>772</v>
      </c>
      <c r="G21" s="16" t="s">
        <v>84</v>
      </c>
      <c r="H21" s="21" t="s">
        <v>11</v>
      </c>
      <c r="I21" s="17" t="s">
        <v>125</v>
      </c>
      <c r="J21" s="17" t="s">
        <v>1312</v>
      </c>
      <c r="K21" s="17" t="s">
        <v>1313</v>
      </c>
      <c r="L21" s="17" t="s">
        <v>1314</v>
      </c>
      <c r="M21" s="17" t="s">
        <v>1315</v>
      </c>
      <c r="N21" s="17" t="s">
        <v>1316</v>
      </c>
      <c r="O21" s="17" t="s">
        <v>1317</v>
      </c>
      <c r="P21" s="17" t="s">
        <v>1318</v>
      </c>
      <c r="Q21" s="17" t="s">
        <v>1319</v>
      </c>
      <c r="R21" s="16" t="s">
        <v>103</v>
      </c>
      <c r="S21" s="19" t="s">
        <v>1320</v>
      </c>
      <c r="T21" s="19" t="s">
        <v>1321</v>
      </c>
      <c r="U21" s="19" t="s">
        <v>67</v>
      </c>
    </row>
    <row r="22" customFormat="false" ht="96" hidden="false" customHeight="true" outlineLevel="0" collapsed="false">
      <c r="A22" s="16" t="n">
        <v>18</v>
      </c>
      <c r="B22" s="16" t="s">
        <v>1322</v>
      </c>
      <c r="C22" s="17" t="s">
        <v>1323</v>
      </c>
      <c r="D22" s="17" t="s">
        <v>1324</v>
      </c>
      <c r="E22" s="16" t="n">
        <v>2022</v>
      </c>
      <c r="F22" s="17" t="s">
        <v>388</v>
      </c>
      <c r="G22" s="16" t="s">
        <v>148</v>
      </c>
      <c r="H22" s="24" t="s">
        <v>15</v>
      </c>
      <c r="I22" s="17" t="s">
        <v>592</v>
      </c>
      <c r="J22" s="17" t="s">
        <v>1325</v>
      </c>
      <c r="K22" s="17" t="s">
        <v>1326</v>
      </c>
      <c r="L22" s="17" t="s">
        <v>1327</v>
      </c>
      <c r="M22" s="17" t="s">
        <v>1328</v>
      </c>
      <c r="N22" s="17" t="s">
        <v>1329</v>
      </c>
      <c r="O22" s="17" t="s">
        <v>334</v>
      </c>
      <c r="P22" s="17" t="s">
        <v>1330</v>
      </c>
      <c r="Q22" s="17" t="s">
        <v>1331</v>
      </c>
      <c r="R22" s="16" t="s">
        <v>65</v>
      </c>
      <c r="S22" s="16"/>
      <c r="T22" s="19" t="s">
        <v>1332</v>
      </c>
      <c r="U22" s="19" t="s">
        <v>67</v>
      </c>
    </row>
    <row r="23" customFormat="false" ht="96" hidden="false" customHeight="true" outlineLevel="0" collapsed="false">
      <c r="A23" s="16" t="n">
        <v>19</v>
      </c>
      <c r="B23" s="16" t="s">
        <v>1333</v>
      </c>
      <c r="C23" s="17" t="s">
        <v>1334</v>
      </c>
      <c r="D23" s="17" t="s">
        <v>1335</v>
      </c>
      <c r="E23" s="16" t="n">
        <v>2022</v>
      </c>
      <c r="F23" s="17" t="s">
        <v>350</v>
      </c>
      <c r="G23" s="16" t="s">
        <v>199</v>
      </c>
      <c r="H23" s="24" t="s">
        <v>15</v>
      </c>
      <c r="I23" s="17" t="s">
        <v>592</v>
      </c>
      <c r="J23" s="17" t="s">
        <v>1325</v>
      </c>
      <c r="K23" s="17" t="s">
        <v>1336</v>
      </c>
      <c r="L23" s="17" t="s">
        <v>1337</v>
      </c>
      <c r="M23" s="17" t="s">
        <v>1338</v>
      </c>
      <c r="N23" s="17" t="s">
        <v>1339</v>
      </c>
      <c r="O23" s="17" t="s">
        <v>334</v>
      </c>
      <c r="P23" s="17" t="s">
        <v>1340</v>
      </c>
      <c r="Q23" s="17" t="s">
        <v>1341</v>
      </c>
      <c r="R23" s="16" t="s">
        <v>103</v>
      </c>
      <c r="S23" s="19" t="s">
        <v>600</v>
      </c>
      <c r="T23" s="19" t="s">
        <v>1342</v>
      </c>
      <c r="U23" s="19" t="s">
        <v>67</v>
      </c>
    </row>
    <row r="24" customFormat="false" ht="96" hidden="false" customHeight="true" outlineLevel="0" collapsed="false">
      <c r="A24" s="16" t="n">
        <v>20</v>
      </c>
      <c r="B24" s="16" t="s">
        <v>1343</v>
      </c>
      <c r="C24" s="17" t="s">
        <v>1344</v>
      </c>
      <c r="D24" s="17" t="s">
        <v>1345</v>
      </c>
      <c r="E24" s="16" t="n">
        <v>2022</v>
      </c>
      <c r="F24" s="17" t="s">
        <v>209</v>
      </c>
      <c r="G24" s="16" t="s">
        <v>199</v>
      </c>
      <c r="H24" s="21" t="s">
        <v>11</v>
      </c>
      <c r="I24" s="17" t="s">
        <v>125</v>
      </c>
      <c r="J24" s="17" t="s">
        <v>1346</v>
      </c>
      <c r="K24" s="17" t="s">
        <v>1347</v>
      </c>
      <c r="L24" s="17" t="s">
        <v>1348</v>
      </c>
      <c r="M24" s="17" t="s">
        <v>1349</v>
      </c>
      <c r="N24" s="17" t="s">
        <v>1350</v>
      </c>
      <c r="O24" s="17" t="s">
        <v>380</v>
      </c>
      <c r="P24" s="17" t="s">
        <v>1351</v>
      </c>
      <c r="Q24" s="17" t="s">
        <v>1352</v>
      </c>
      <c r="R24" s="16" t="s">
        <v>103</v>
      </c>
      <c r="S24" s="19" t="s">
        <v>1353</v>
      </c>
      <c r="T24" s="19" t="s">
        <v>1354</v>
      </c>
      <c r="U24" s="19" t="s">
        <v>67</v>
      </c>
    </row>
    <row r="25" customFormat="false" ht="96" hidden="false" customHeight="true" outlineLevel="0" collapsed="false">
      <c r="A25" s="16" t="n">
        <v>21</v>
      </c>
      <c r="B25" s="16" t="s">
        <v>1355</v>
      </c>
      <c r="C25" s="17" t="s">
        <v>1356</v>
      </c>
      <c r="D25" s="17" t="s">
        <v>1357</v>
      </c>
      <c r="E25" s="16" t="n">
        <v>2022</v>
      </c>
      <c r="F25" s="17" t="s">
        <v>327</v>
      </c>
      <c r="G25" s="16" t="s">
        <v>148</v>
      </c>
      <c r="H25" s="21" t="s">
        <v>13</v>
      </c>
      <c r="I25" s="17" t="s">
        <v>125</v>
      </c>
      <c r="J25" s="17" t="s">
        <v>631</v>
      </c>
      <c r="K25" s="17" t="s">
        <v>1358</v>
      </c>
      <c r="L25" s="17" t="s">
        <v>1359</v>
      </c>
      <c r="M25" s="17" t="s">
        <v>1360</v>
      </c>
      <c r="N25" s="17" t="s">
        <v>1361</v>
      </c>
      <c r="O25" s="17" t="s">
        <v>1362</v>
      </c>
      <c r="P25" s="17" t="s">
        <v>1363</v>
      </c>
      <c r="Q25" s="17" t="s">
        <v>1364</v>
      </c>
      <c r="R25" s="16" t="s">
        <v>103</v>
      </c>
      <c r="S25" s="19" t="s">
        <v>1365</v>
      </c>
      <c r="T25" s="19" t="s">
        <v>1366</v>
      </c>
      <c r="U25" s="19" t="s">
        <v>67</v>
      </c>
    </row>
    <row r="26" customFormat="false" ht="96" hidden="false" customHeight="true" outlineLevel="0" collapsed="false">
      <c r="A26" s="16" t="n">
        <v>22</v>
      </c>
      <c r="B26" s="16" t="s">
        <v>1367</v>
      </c>
      <c r="C26" s="17" t="s">
        <v>1368</v>
      </c>
      <c r="D26" s="17" t="s">
        <v>1369</v>
      </c>
      <c r="E26" s="16" t="n">
        <v>2022</v>
      </c>
      <c r="F26" s="17" t="s">
        <v>1277</v>
      </c>
      <c r="G26" s="16" t="s">
        <v>1164</v>
      </c>
      <c r="H26" s="23" t="s">
        <v>19</v>
      </c>
      <c r="I26" s="17" t="s">
        <v>328</v>
      </c>
      <c r="J26" s="17" t="s">
        <v>1370</v>
      </c>
      <c r="K26" s="17" t="s">
        <v>1371</v>
      </c>
      <c r="L26" s="17" t="s">
        <v>1372</v>
      </c>
      <c r="M26" s="17" t="s">
        <v>1373</v>
      </c>
      <c r="N26" s="17" t="s">
        <v>1374</v>
      </c>
      <c r="O26" s="17" t="s">
        <v>334</v>
      </c>
      <c r="P26" s="17" t="s">
        <v>1375</v>
      </c>
      <c r="Q26" s="17" t="s">
        <v>1376</v>
      </c>
      <c r="R26" s="16" t="s">
        <v>103</v>
      </c>
      <c r="S26" s="19" t="s">
        <v>1377</v>
      </c>
      <c r="T26" s="19" t="s">
        <v>1378</v>
      </c>
      <c r="U26" s="19" t="s">
        <v>67</v>
      </c>
    </row>
    <row r="27" customFormat="false" ht="96" hidden="false" customHeight="true" outlineLevel="0" collapsed="false">
      <c r="A27" s="16" t="n">
        <v>23</v>
      </c>
      <c r="B27" s="16" t="s">
        <v>1379</v>
      </c>
      <c r="C27" s="17" t="s">
        <v>1380</v>
      </c>
      <c r="D27" s="17" t="s">
        <v>712</v>
      </c>
      <c r="E27" s="16" t="n">
        <v>2022</v>
      </c>
      <c r="F27" s="17" t="s">
        <v>1163</v>
      </c>
      <c r="G27" s="16" t="s">
        <v>1164</v>
      </c>
      <c r="H27" s="24" t="s">
        <v>15</v>
      </c>
      <c r="I27" s="17" t="s">
        <v>592</v>
      </c>
      <c r="J27" s="17" t="s">
        <v>57</v>
      </c>
      <c r="K27" s="17" t="s">
        <v>1381</v>
      </c>
      <c r="L27" s="17" t="s">
        <v>1382</v>
      </c>
      <c r="M27" s="17" t="s">
        <v>1383</v>
      </c>
      <c r="N27" s="17" t="s">
        <v>1384</v>
      </c>
      <c r="O27" s="17" t="s">
        <v>1385</v>
      </c>
      <c r="P27" s="17" t="s">
        <v>1386</v>
      </c>
      <c r="Q27" s="17" t="s">
        <v>1387</v>
      </c>
      <c r="R27" s="16" t="s">
        <v>103</v>
      </c>
      <c r="S27" s="19" t="s">
        <v>1388</v>
      </c>
      <c r="T27" s="19" t="s">
        <v>1389</v>
      </c>
      <c r="U27" s="19" t="s">
        <v>67</v>
      </c>
    </row>
    <row r="28" customFormat="false" ht="96" hidden="false" customHeight="true" outlineLevel="0" collapsed="false">
      <c r="A28" s="16" t="n">
        <v>24</v>
      </c>
      <c r="B28" s="16" t="s">
        <v>1390</v>
      </c>
      <c r="C28" s="17" t="s">
        <v>1391</v>
      </c>
      <c r="D28" s="17" t="s">
        <v>1392</v>
      </c>
      <c r="E28" s="16" t="n">
        <v>2022</v>
      </c>
      <c r="F28" s="17" t="s">
        <v>445</v>
      </c>
      <c r="G28" s="16" t="s">
        <v>446</v>
      </c>
      <c r="H28" s="21" t="s">
        <v>11</v>
      </c>
      <c r="I28" s="17" t="s">
        <v>125</v>
      </c>
      <c r="J28" s="17" t="s">
        <v>1393</v>
      </c>
      <c r="K28" s="17" t="s">
        <v>1394</v>
      </c>
      <c r="L28" s="17" t="s">
        <v>1395</v>
      </c>
      <c r="M28" s="17" t="s">
        <v>1396</v>
      </c>
      <c r="N28" s="17" t="s">
        <v>1397</v>
      </c>
      <c r="O28" s="17" t="s">
        <v>549</v>
      </c>
      <c r="P28" s="17" t="s">
        <v>1398</v>
      </c>
      <c r="Q28" s="17" t="s">
        <v>1399</v>
      </c>
      <c r="R28" s="16" t="s">
        <v>65</v>
      </c>
      <c r="S28" s="16"/>
      <c r="T28" s="19" t="s">
        <v>1400</v>
      </c>
      <c r="U28" s="19" t="s">
        <v>67</v>
      </c>
    </row>
  </sheetData>
  <autoFilter ref="A4:U28"/>
  <hyperlinks>
    <hyperlink ref="S5" r:id="rId1" display="https://github.com/tamlhp/awesome-machine-unlearning"/>
    <hyperlink ref="T5" r:id="rId2" display="https://arxiv.org/abs/2209.02299"/>
    <hyperlink ref="U5" r:id="rId3" display="Search"/>
    <hyperlink ref="S6" r:id="rId4" display="https://github.com/AlonZolfi/AdversarialMask"/>
    <hyperlink ref="T6" r:id="rId5" display="https://arxiv.org/abs/2111.10759"/>
    <hyperlink ref="U6" r:id="rId6" display="Search"/>
    <hyperlink ref="S7" r:id="rId7" display="https://github.com/jinyugy21/Adv-Stickers_RHDE"/>
    <hyperlink ref="T7" r:id="rId8" display="https://arxiv.org/abs/2104.06728"/>
    <hyperlink ref="U7" r:id="rId9" display="Search"/>
    <hyperlink ref="T8" r:id="rId10" display="https://arxiv.org/abs/2111.12405"/>
    <hyperlink ref="U8" r:id="rId11" display="Search"/>
    <hyperlink ref="S9" r:id="rId12" display="https://github.com/psandovalsegura/autoregressive-poisoning"/>
    <hyperlink ref="T9" r:id="rId13" display="https://arxiv.org/abs/2206.03693"/>
    <hyperlink ref="U9" r:id="rId14" display="Search"/>
    <hyperlink ref="S10" r:id="rId15" display="https://github.com/dayu11/Availability-Attacks-Create-Shortcuts"/>
    <hyperlink ref="T10" r:id="rId16" display="https://arxiv.org/abs/2111.00898"/>
    <hyperlink ref="U10" r:id="rId17" display="Search"/>
    <hyperlink ref="S11" r:id="rId18" display="https://github.com/ftramer/FaceCure"/>
    <hyperlink ref="T11" r:id="rId19" display="https://arxiv.org/abs/2106.14851"/>
    <hyperlink ref="U11" r:id="rId20" display="Search"/>
    <hyperlink ref="T12" r:id="rId21" display="https://arxiv.org/abs/2102.02458"/>
    <hyperlink ref="U12" r:id="rId22" display="Search"/>
    <hyperlink ref="T13" r:id="rId23" display="https://doi.org/10.1016/j.future.2021.11.032"/>
    <hyperlink ref="U13" r:id="rId24" display="Search"/>
    <hyperlink ref="S14" r:id="rId25" display="https://github.com/Tencent/TFace"/>
    <hyperlink ref="T14" r:id="rId26" display="https://arxiv.org/abs/2207.07340"/>
    <hyperlink ref="U14" r:id="rId27" display="Search"/>
    <hyperlink ref="S15" r:id="rId28" display="https://github.com/jackie840129/FedFR"/>
    <hyperlink ref="T15" r:id="rId29" display="https://arxiv.org/abs/2112.12496"/>
    <hyperlink ref="U15" r:id="rId30" display="Search"/>
    <hyperlink ref="T16" r:id="rId31" display="https://arxiv.org/abs/2112.07246"/>
    <hyperlink ref="U16" r:id="rId32" display="Search"/>
    <hyperlink ref="S17" r:id="rId33" display="https://github.com/human-analysis/hers-encrypted-image-search"/>
    <hyperlink ref="T17" r:id="rId34" display="https://arxiv.org/abs/2003.12197"/>
    <hyperlink ref="U17" r:id="rId35" display="Search"/>
    <hyperlink ref="T18" r:id="rId36" display="https://doi.org/10.1109/IJCB54206.2022.10007960"/>
    <hyperlink ref="U18" r:id="rId37" display="Search"/>
    <hyperlink ref="T19" r:id="rId38" display="https://www.iso.org/standard/75302.html"/>
    <hyperlink ref="U19" r:id="rId39" display="Search"/>
    <hyperlink ref="T20" r:id="rId40" display="https://arxiv.org/abs/2103.01745"/>
    <hyperlink ref="U20" r:id="rId41" display="Search"/>
    <hyperlink ref="S21" r:id="rId42" display="https://github.com/zhongyy/OPOM"/>
    <hyperlink ref="T21" r:id="rId43" display="https://arxiv.org/abs/2205.11981"/>
    <hyperlink ref="U21" r:id="rId44" display="Search"/>
    <hyperlink ref="T22" r:id="rId45" display="https://doi.org/10.1609/aaai.v36i3.20157"/>
    <hyperlink ref="U22" r:id="rId46" display="Search"/>
    <hyperlink ref="S23" r:id="rId47" display="https://github.com/Tencent/TFace"/>
    <hyperlink ref="T23" r:id="rId48" display="https://arxiv.org/abs/2207.07316"/>
    <hyperlink ref="U23" r:id="rId49" display="Search"/>
    <hyperlink ref="S24" r:id="rId50" display="https://github.com/CGCL-codes/AMT-GAN"/>
    <hyperlink ref="T24" r:id="rId51" display="https://arxiv.org/abs/2203.03121"/>
    <hyperlink ref="U24" r:id="rId52" display="Search"/>
    <hyperlink ref="S25" r:id="rId53" display="https://github.com/fshp971/robust-unlearnable-examples"/>
    <hyperlink ref="T25" r:id="rId54" display="https://arxiv.org/abs/2203.14533"/>
    <hyperlink ref="U25" r:id="rId55" display="Search"/>
    <hyperlink ref="S26" r:id="rId56" display="https://github.com/fdbtrs/SFace-Privacy-friendly-and-Accurate-Face-Recognition-using-Synthetic-Data"/>
    <hyperlink ref="T26" r:id="rId57" display="https://arxiv.org/abs/2206.10520"/>
    <hyperlink ref="U26" r:id="rId58" display="Search"/>
    <hyperlink ref="S27" r:id="rId59" display="https://technology.idiap.ch/technologies/biometrics/polyprotect/"/>
    <hyperlink ref="T27" r:id="rId60" display="https://arxiv.org/abs/2110.00434"/>
    <hyperlink ref="U27" r:id="rId61" display="Search"/>
    <hyperlink ref="T28" r:id="rId62" display="https://doi.org/10.2478/popets-2022-0008"/>
    <hyperlink ref="U28" r:id="rId63"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2687</v>
      </c>
    </row>
    <row r="2" customFormat="false" ht="15" hidden="false" customHeight="false" outlineLevel="0" collapsed="false">
      <c r="A2" s="14" t="s">
        <v>2704</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650</v>
      </c>
      <c r="C5" s="17" t="s">
        <v>651</v>
      </c>
      <c r="D5" s="17" t="s">
        <v>652</v>
      </c>
      <c r="E5" s="16" t="n">
        <v>2023</v>
      </c>
      <c r="F5" s="17" t="s">
        <v>138</v>
      </c>
      <c r="G5" s="16" t="s">
        <v>84</v>
      </c>
      <c r="H5" s="20" t="s">
        <v>25</v>
      </c>
      <c r="I5" s="17" t="s">
        <v>72</v>
      </c>
      <c r="J5" s="17" t="s">
        <v>73</v>
      </c>
      <c r="K5" s="17" t="s">
        <v>73</v>
      </c>
      <c r="L5" s="17" t="s">
        <v>653</v>
      </c>
      <c r="M5" s="17" t="s">
        <v>654</v>
      </c>
      <c r="N5" s="17" t="s">
        <v>76</v>
      </c>
      <c r="O5" s="17" t="s">
        <v>76</v>
      </c>
      <c r="P5" s="17" t="s">
        <v>655</v>
      </c>
      <c r="Q5" s="17" t="s">
        <v>656</v>
      </c>
      <c r="R5" s="16" t="s">
        <v>65</v>
      </c>
      <c r="S5" s="16"/>
      <c r="T5" s="19" t="s">
        <v>657</v>
      </c>
      <c r="U5" s="19" t="s">
        <v>67</v>
      </c>
    </row>
    <row r="6" customFormat="false" ht="96" hidden="false" customHeight="true" outlineLevel="0" collapsed="false">
      <c r="A6" s="16" t="n">
        <v>2</v>
      </c>
      <c r="B6" s="16" t="s">
        <v>658</v>
      </c>
      <c r="C6" s="17" t="s">
        <v>659</v>
      </c>
      <c r="D6" s="17" t="s">
        <v>660</v>
      </c>
      <c r="E6" s="16" t="n">
        <v>2023</v>
      </c>
      <c r="F6" s="17" t="s">
        <v>661</v>
      </c>
      <c r="G6" s="16" t="s">
        <v>199</v>
      </c>
      <c r="H6" s="23" t="s">
        <v>21</v>
      </c>
      <c r="I6" s="17" t="s">
        <v>328</v>
      </c>
      <c r="J6" s="17" t="s">
        <v>662</v>
      </c>
      <c r="K6" s="17" t="s">
        <v>663</v>
      </c>
      <c r="L6" s="17" t="s">
        <v>664</v>
      </c>
      <c r="M6" s="17" t="s">
        <v>665</v>
      </c>
      <c r="N6" s="17" t="s">
        <v>666</v>
      </c>
      <c r="O6" s="17" t="s">
        <v>667</v>
      </c>
      <c r="P6" s="17" t="s">
        <v>668</v>
      </c>
      <c r="Q6" s="17" t="s">
        <v>669</v>
      </c>
      <c r="R6" s="16" t="s">
        <v>103</v>
      </c>
      <c r="S6" s="19" t="s">
        <v>670</v>
      </c>
      <c r="T6" s="19" t="s">
        <v>671</v>
      </c>
      <c r="U6" s="19" t="s">
        <v>67</v>
      </c>
    </row>
    <row r="7" customFormat="false" ht="96" hidden="false" customHeight="true" outlineLevel="0" collapsed="false">
      <c r="A7" s="16" t="n">
        <v>3</v>
      </c>
      <c r="B7" s="16" t="s">
        <v>672</v>
      </c>
      <c r="C7" s="17" t="s">
        <v>673</v>
      </c>
      <c r="D7" s="17" t="s">
        <v>674</v>
      </c>
      <c r="E7" s="16" t="n">
        <v>2023</v>
      </c>
      <c r="F7" s="17" t="s">
        <v>675</v>
      </c>
      <c r="G7" s="16" t="s">
        <v>148</v>
      </c>
      <c r="H7" s="21" t="s">
        <v>13</v>
      </c>
      <c r="I7" s="17" t="s">
        <v>125</v>
      </c>
      <c r="J7" s="17" t="s">
        <v>676</v>
      </c>
      <c r="K7" s="17" t="s">
        <v>677</v>
      </c>
      <c r="L7" s="17" t="s">
        <v>678</v>
      </c>
      <c r="M7" s="17" t="s">
        <v>679</v>
      </c>
      <c r="N7" s="17" t="s">
        <v>680</v>
      </c>
      <c r="O7" s="17" t="s">
        <v>681</v>
      </c>
      <c r="P7" s="17" t="s">
        <v>682</v>
      </c>
      <c r="Q7" s="17" t="s">
        <v>683</v>
      </c>
      <c r="R7" s="16" t="s">
        <v>103</v>
      </c>
      <c r="S7" s="19" t="s">
        <v>684</v>
      </c>
      <c r="T7" s="19" t="s">
        <v>685</v>
      </c>
      <c r="U7" s="19" t="s">
        <v>67</v>
      </c>
    </row>
    <row r="8" customFormat="false" ht="96" hidden="false" customHeight="true" outlineLevel="0" collapsed="false">
      <c r="A8" s="16" t="n">
        <v>4</v>
      </c>
      <c r="B8" s="16" t="s">
        <v>686</v>
      </c>
      <c r="C8" s="17" t="s">
        <v>687</v>
      </c>
      <c r="D8" s="17" t="s">
        <v>688</v>
      </c>
      <c r="E8" s="16" t="n">
        <v>2023</v>
      </c>
      <c r="F8" s="17" t="s">
        <v>661</v>
      </c>
      <c r="G8" s="16" t="s">
        <v>199</v>
      </c>
      <c r="H8" s="21" t="s">
        <v>13</v>
      </c>
      <c r="I8" s="17" t="s">
        <v>125</v>
      </c>
      <c r="J8" s="17" t="s">
        <v>544</v>
      </c>
      <c r="K8" s="17" t="s">
        <v>689</v>
      </c>
      <c r="L8" s="17" t="s">
        <v>690</v>
      </c>
      <c r="M8" s="17" t="s">
        <v>691</v>
      </c>
      <c r="N8" s="17" t="s">
        <v>692</v>
      </c>
      <c r="O8" s="17" t="s">
        <v>693</v>
      </c>
      <c r="P8" s="17" t="s">
        <v>694</v>
      </c>
      <c r="Q8" s="17" t="s">
        <v>695</v>
      </c>
      <c r="R8" s="16" t="s">
        <v>103</v>
      </c>
      <c r="S8" s="19" t="s">
        <v>696</v>
      </c>
      <c r="T8" s="19" t="s">
        <v>697</v>
      </c>
      <c r="U8" s="19" t="s">
        <v>67</v>
      </c>
    </row>
    <row r="9" customFormat="false" ht="96" hidden="false" customHeight="true" outlineLevel="0" collapsed="false">
      <c r="A9" s="16" t="n">
        <v>5</v>
      </c>
      <c r="B9" s="16" t="s">
        <v>698</v>
      </c>
      <c r="C9" s="17" t="s">
        <v>699</v>
      </c>
      <c r="D9" s="17" t="s">
        <v>700</v>
      </c>
      <c r="E9" s="16" t="n">
        <v>2023</v>
      </c>
      <c r="F9" s="17" t="s">
        <v>209</v>
      </c>
      <c r="G9" s="16" t="s">
        <v>199</v>
      </c>
      <c r="H9" s="22" t="s">
        <v>9</v>
      </c>
      <c r="I9" s="17" t="s">
        <v>223</v>
      </c>
      <c r="J9" s="17" t="s">
        <v>279</v>
      </c>
      <c r="K9" s="17" t="s">
        <v>701</v>
      </c>
      <c r="L9" s="17" t="s">
        <v>702</v>
      </c>
      <c r="M9" s="17" t="s">
        <v>703</v>
      </c>
      <c r="N9" s="17" t="s">
        <v>704</v>
      </c>
      <c r="O9" s="17" t="s">
        <v>705</v>
      </c>
      <c r="P9" s="17" t="s">
        <v>706</v>
      </c>
      <c r="Q9" s="17" t="s">
        <v>707</v>
      </c>
      <c r="R9" s="16" t="s">
        <v>103</v>
      </c>
      <c r="S9" s="19" t="s">
        <v>708</v>
      </c>
      <c r="T9" s="19" t="s">
        <v>709</v>
      </c>
      <c r="U9" s="19" t="s">
        <v>67</v>
      </c>
    </row>
    <row r="10" customFormat="false" ht="96" hidden="false" customHeight="true" outlineLevel="0" collapsed="false">
      <c r="A10" s="16" t="n">
        <v>6</v>
      </c>
      <c r="B10" s="16" t="s">
        <v>710</v>
      </c>
      <c r="C10" s="17" t="s">
        <v>711</v>
      </c>
      <c r="D10" s="17" t="s">
        <v>712</v>
      </c>
      <c r="E10" s="16" t="n">
        <v>2023</v>
      </c>
      <c r="F10" s="17" t="s">
        <v>83</v>
      </c>
      <c r="G10" s="16" t="s">
        <v>84</v>
      </c>
      <c r="H10" s="24" t="s">
        <v>15</v>
      </c>
      <c r="I10" s="17" t="s">
        <v>592</v>
      </c>
      <c r="J10" s="17" t="s">
        <v>713</v>
      </c>
      <c r="K10" s="17" t="s">
        <v>73</v>
      </c>
      <c r="L10" s="17" t="s">
        <v>714</v>
      </c>
      <c r="M10" s="17" t="s">
        <v>715</v>
      </c>
      <c r="N10" s="17" t="s">
        <v>716</v>
      </c>
      <c r="O10" s="17" t="s">
        <v>76</v>
      </c>
      <c r="P10" s="17" t="s">
        <v>717</v>
      </c>
      <c r="Q10" s="17" t="s">
        <v>718</v>
      </c>
      <c r="R10" s="16" t="s">
        <v>65</v>
      </c>
      <c r="S10" s="16"/>
      <c r="T10" s="19" t="s">
        <v>719</v>
      </c>
      <c r="U10" s="19" t="s">
        <v>67</v>
      </c>
    </row>
    <row r="11" customFormat="false" ht="96" hidden="false" customHeight="true" outlineLevel="0" collapsed="false">
      <c r="A11" s="16" t="n">
        <v>7</v>
      </c>
      <c r="B11" s="16" t="s">
        <v>720</v>
      </c>
      <c r="C11" s="17" t="s">
        <v>721</v>
      </c>
      <c r="D11" s="17" t="s">
        <v>722</v>
      </c>
      <c r="E11" s="16" t="n">
        <v>2023</v>
      </c>
      <c r="F11" s="17" t="s">
        <v>209</v>
      </c>
      <c r="G11" s="16" t="s">
        <v>199</v>
      </c>
      <c r="H11" s="23" t="s">
        <v>21</v>
      </c>
      <c r="I11" s="17" t="s">
        <v>328</v>
      </c>
      <c r="J11" s="17" t="s">
        <v>723</v>
      </c>
      <c r="K11" s="17" t="s">
        <v>724</v>
      </c>
      <c r="L11" s="17" t="s">
        <v>725</v>
      </c>
      <c r="M11" s="17" t="s">
        <v>726</v>
      </c>
      <c r="N11" s="17" t="s">
        <v>727</v>
      </c>
      <c r="O11" s="17" t="s">
        <v>728</v>
      </c>
      <c r="P11" s="17" t="s">
        <v>729</v>
      </c>
      <c r="Q11" s="17" t="s">
        <v>730</v>
      </c>
      <c r="R11" s="16" t="s">
        <v>65</v>
      </c>
      <c r="S11" s="16"/>
      <c r="T11" s="19" t="s">
        <v>731</v>
      </c>
      <c r="U11" s="19" t="s">
        <v>67</v>
      </c>
    </row>
    <row r="12" customFormat="false" ht="96" hidden="false" customHeight="true" outlineLevel="0" collapsed="false">
      <c r="A12" s="16" t="n">
        <v>8</v>
      </c>
      <c r="B12" s="16" t="s">
        <v>732</v>
      </c>
      <c r="C12" s="17" t="s">
        <v>733</v>
      </c>
      <c r="D12" s="17" t="s">
        <v>734</v>
      </c>
      <c r="E12" s="16" t="n">
        <v>2023</v>
      </c>
      <c r="F12" s="17" t="s">
        <v>209</v>
      </c>
      <c r="G12" s="16" t="s">
        <v>199</v>
      </c>
      <c r="H12" s="21" t="s">
        <v>11</v>
      </c>
      <c r="I12" s="17" t="s">
        <v>125</v>
      </c>
      <c r="J12" s="17" t="s">
        <v>186</v>
      </c>
      <c r="K12" s="17" t="s">
        <v>735</v>
      </c>
      <c r="L12" s="17" t="s">
        <v>736</v>
      </c>
      <c r="M12" s="17" t="s">
        <v>737</v>
      </c>
      <c r="N12" s="17" t="s">
        <v>130</v>
      </c>
      <c r="O12" s="17" t="s">
        <v>738</v>
      </c>
      <c r="P12" s="17" t="s">
        <v>739</v>
      </c>
      <c r="Q12" s="17" t="s">
        <v>740</v>
      </c>
      <c r="R12" s="16" t="s">
        <v>103</v>
      </c>
      <c r="S12" s="19" t="s">
        <v>741</v>
      </c>
      <c r="T12" s="19" t="s">
        <v>742</v>
      </c>
      <c r="U12" s="19" t="s">
        <v>67</v>
      </c>
    </row>
    <row r="13" customFormat="false" ht="96" hidden="false" customHeight="true" outlineLevel="0" collapsed="false">
      <c r="A13" s="16" t="n">
        <v>9</v>
      </c>
      <c r="B13" s="16" t="s">
        <v>743</v>
      </c>
      <c r="C13" s="17" t="s">
        <v>744</v>
      </c>
      <c r="D13" s="17" t="s">
        <v>745</v>
      </c>
      <c r="E13" s="16" t="n">
        <v>2023</v>
      </c>
      <c r="F13" s="17" t="s">
        <v>209</v>
      </c>
      <c r="G13" s="16" t="s">
        <v>199</v>
      </c>
      <c r="H13" s="21" t="s">
        <v>13</v>
      </c>
      <c r="I13" s="17" t="s">
        <v>125</v>
      </c>
      <c r="J13" s="17" t="s">
        <v>746</v>
      </c>
      <c r="K13" s="17" t="s">
        <v>747</v>
      </c>
      <c r="L13" s="17" t="s">
        <v>748</v>
      </c>
      <c r="M13" s="17" t="s">
        <v>749</v>
      </c>
      <c r="N13" s="17" t="s">
        <v>750</v>
      </c>
      <c r="O13" s="17" t="s">
        <v>751</v>
      </c>
      <c r="P13" s="17" t="s">
        <v>752</v>
      </c>
      <c r="Q13" s="17" t="s">
        <v>753</v>
      </c>
      <c r="R13" s="16" t="s">
        <v>103</v>
      </c>
      <c r="S13" s="19" t="s">
        <v>754</v>
      </c>
      <c r="T13" s="19" t="s">
        <v>755</v>
      </c>
      <c r="U13" s="19" t="s">
        <v>67</v>
      </c>
    </row>
    <row r="14" customFormat="false" ht="96" hidden="false" customHeight="true" outlineLevel="0" collapsed="false">
      <c r="A14" s="16" t="n">
        <v>10</v>
      </c>
      <c r="B14" s="16" t="s">
        <v>756</v>
      </c>
      <c r="C14" s="17" t="s">
        <v>757</v>
      </c>
      <c r="D14" s="17" t="s">
        <v>758</v>
      </c>
      <c r="E14" s="16" t="n">
        <v>2023</v>
      </c>
      <c r="F14" s="17" t="s">
        <v>388</v>
      </c>
      <c r="G14" s="16" t="s">
        <v>148</v>
      </c>
      <c r="H14" s="23" t="s">
        <v>21</v>
      </c>
      <c r="I14" s="17" t="s">
        <v>328</v>
      </c>
      <c r="J14" s="17" t="s">
        <v>759</v>
      </c>
      <c r="K14" s="17" t="s">
        <v>760</v>
      </c>
      <c r="L14" s="17" t="s">
        <v>761</v>
      </c>
      <c r="M14" s="17" t="s">
        <v>762</v>
      </c>
      <c r="N14" s="17" t="s">
        <v>763</v>
      </c>
      <c r="O14" s="17" t="s">
        <v>764</v>
      </c>
      <c r="P14" s="17" t="s">
        <v>765</v>
      </c>
      <c r="Q14" s="17" t="s">
        <v>766</v>
      </c>
      <c r="R14" s="16" t="s">
        <v>103</v>
      </c>
      <c r="S14" s="19" t="s">
        <v>767</v>
      </c>
      <c r="T14" s="19" t="s">
        <v>768</v>
      </c>
      <c r="U14" s="19" t="s">
        <v>67</v>
      </c>
    </row>
    <row r="15" customFormat="false" ht="96" hidden="false" customHeight="true" outlineLevel="0" collapsed="false">
      <c r="A15" s="16" t="n">
        <v>11</v>
      </c>
      <c r="B15" s="16" t="s">
        <v>769</v>
      </c>
      <c r="C15" s="17" t="s">
        <v>770</v>
      </c>
      <c r="D15" s="17" t="s">
        <v>771</v>
      </c>
      <c r="E15" s="16" t="n">
        <v>2023</v>
      </c>
      <c r="F15" s="17" t="s">
        <v>772</v>
      </c>
      <c r="G15" s="16" t="s">
        <v>84</v>
      </c>
      <c r="H15" s="18" t="s">
        <v>23</v>
      </c>
      <c r="I15" s="17" t="s">
        <v>23</v>
      </c>
      <c r="J15" s="17" t="s">
        <v>773</v>
      </c>
      <c r="K15" s="17" t="s">
        <v>774</v>
      </c>
      <c r="L15" s="17" t="s">
        <v>775</v>
      </c>
      <c r="M15" s="17" t="s">
        <v>776</v>
      </c>
      <c r="N15" s="17" t="s">
        <v>777</v>
      </c>
      <c r="O15" s="17" t="s">
        <v>76</v>
      </c>
      <c r="P15" s="17" t="s">
        <v>778</v>
      </c>
      <c r="Q15" s="17" t="s">
        <v>779</v>
      </c>
      <c r="R15" s="16" t="s">
        <v>65</v>
      </c>
      <c r="S15" s="16"/>
      <c r="T15" s="19" t="s">
        <v>780</v>
      </c>
      <c r="U15" s="19" t="s">
        <v>67</v>
      </c>
    </row>
    <row r="16" customFormat="false" ht="96" hidden="false" customHeight="true" outlineLevel="0" collapsed="false">
      <c r="A16" s="16" t="n">
        <v>12</v>
      </c>
      <c r="B16" s="16" t="s">
        <v>781</v>
      </c>
      <c r="C16" s="17" t="s">
        <v>782</v>
      </c>
      <c r="D16" s="17" t="s">
        <v>783</v>
      </c>
      <c r="E16" s="16" t="n">
        <v>2023</v>
      </c>
      <c r="F16" s="17" t="s">
        <v>209</v>
      </c>
      <c r="G16" s="16" t="s">
        <v>199</v>
      </c>
      <c r="H16" s="23" t="s">
        <v>19</v>
      </c>
      <c r="I16" s="17" t="s">
        <v>328</v>
      </c>
      <c r="J16" s="17" t="s">
        <v>784</v>
      </c>
      <c r="K16" s="17" t="s">
        <v>785</v>
      </c>
      <c r="L16" s="17" t="s">
        <v>786</v>
      </c>
      <c r="M16" s="17" t="s">
        <v>787</v>
      </c>
      <c r="N16" s="17" t="s">
        <v>788</v>
      </c>
      <c r="O16" s="17" t="s">
        <v>334</v>
      </c>
      <c r="P16" s="17" t="s">
        <v>789</v>
      </c>
      <c r="Q16" s="17" t="s">
        <v>790</v>
      </c>
      <c r="R16" s="16" t="s">
        <v>103</v>
      </c>
      <c r="S16" s="19" t="s">
        <v>791</v>
      </c>
      <c r="T16" s="19" t="s">
        <v>792</v>
      </c>
      <c r="U16" s="19" t="s">
        <v>67</v>
      </c>
    </row>
    <row r="17" customFormat="false" ht="96" hidden="false" customHeight="true" outlineLevel="0" collapsed="false">
      <c r="A17" s="16" t="n">
        <v>13</v>
      </c>
      <c r="B17" s="16" t="s">
        <v>793</v>
      </c>
      <c r="C17" s="17" t="s">
        <v>794</v>
      </c>
      <c r="D17" s="17" t="s">
        <v>795</v>
      </c>
      <c r="E17" s="16" t="n">
        <v>2023</v>
      </c>
      <c r="F17" s="17" t="s">
        <v>796</v>
      </c>
      <c r="G17" s="16" t="s">
        <v>199</v>
      </c>
      <c r="H17" s="22" t="s">
        <v>9</v>
      </c>
      <c r="I17" s="17" t="s">
        <v>223</v>
      </c>
      <c r="J17" s="17" t="s">
        <v>797</v>
      </c>
      <c r="K17" s="17" t="s">
        <v>798</v>
      </c>
      <c r="L17" s="17" t="s">
        <v>799</v>
      </c>
      <c r="M17" s="17" t="s">
        <v>800</v>
      </c>
      <c r="N17" s="17" t="s">
        <v>801</v>
      </c>
      <c r="O17" s="17" t="s">
        <v>802</v>
      </c>
      <c r="P17" s="17" t="s">
        <v>803</v>
      </c>
      <c r="Q17" s="17" t="s">
        <v>804</v>
      </c>
      <c r="R17" s="16" t="s">
        <v>103</v>
      </c>
      <c r="S17" s="19" t="s">
        <v>805</v>
      </c>
      <c r="T17" s="19" t="s">
        <v>806</v>
      </c>
      <c r="U17" s="19" t="s">
        <v>67</v>
      </c>
    </row>
    <row r="18" customFormat="false" ht="96" hidden="false" customHeight="true" outlineLevel="0" collapsed="false">
      <c r="A18" s="16" t="n">
        <v>14</v>
      </c>
      <c r="B18" s="16" t="s">
        <v>807</v>
      </c>
      <c r="C18" s="17" t="s">
        <v>808</v>
      </c>
      <c r="D18" s="17" t="s">
        <v>809</v>
      </c>
      <c r="E18" s="16" t="n">
        <v>2023</v>
      </c>
      <c r="F18" s="17" t="s">
        <v>810</v>
      </c>
      <c r="G18" s="16" t="s">
        <v>84</v>
      </c>
      <c r="H18" s="25" t="s">
        <v>7</v>
      </c>
      <c r="I18" s="17" t="s">
        <v>811</v>
      </c>
      <c r="J18" s="17" t="s">
        <v>812</v>
      </c>
      <c r="K18" s="17" t="s">
        <v>813</v>
      </c>
      <c r="L18" s="17" t="s">
        <v>814</v>
      </c>
      <c r="M18" s="17" t="s">
        <v>815</v>
      </c>
      <c r="N18" s="17" t="s">
        <v>816</v>
      </c>
      <c r="O18" s="17" t="s">
        <v>817</v>
      </c>
      <c r="P18" s="17" t="s">
        <v>818</v>
      </c>
      <c r="Q18" s="17" t="s">
        <v>819</v>
      </c>
      <c r="R18" s="16" t="s">
        <v>103</v>
      </c>
      <c r="S18" s="19" t="s">
        <v>820</v>
      </c>
      <c r="T18" s="19" t="s">
        <v>821</v>
      </c>
      <c r="U18" s="19" t="s">
        <v>67</v>
      </c>
    </row>
    <row r="19" customFormat="false" ht="96" hidden="false" customHeight="true" outlineLevel="0" collapsed="false">
      <c r="A19" s="16" t="n">
        <v>15</v>
      </c>
      <c r="B19" s="16" t="s">
        <v>822</v>
      </c>
      <c r="C19" s="17" t="s">
        <v>823</v>
      </c>
      <c r="D19" s="17" t="s">
        <v>824</v>
      </c>
      <c r="E19" s="16" t="n">
        <v>2023</v>
      </c>
      <c r="F19" s="17" t="s">
        <v>71</v>
      </c>
      <c r="G19" s="16" t="s">
        <v>56</v>
      </c>
      <c r="H19" s="25" t="s">
        <v>7</v>
      </c>
      <c r="I19" s="17" t="s">
        <v>811</v>
      </c>
      <c r="J19" s="17" t="s">
        <v>825</v>
      </c>
      <c r="K19" s="17" t="s">
        <v>826</v>
      </c>
      <c r="L19" s="17" t="s">
        <v>827</v>
      </c>
      <c r="M19" s="17" t="s">
        <v>828</v>
      </c>
      <c r="N19" s="17" t="s">
        <v>829</v>
      </c>
      <c r="O19" s="17" t="s">
        <v>830</v>
      </c>
      <c r="P19" s="17" t="s">
        <v>831</v>
      </c>
      <c r="Q19" s="17" t="s">
        <v>832</v>
      </c>
      <c r="R19" s="16" t="s">
        <v>65</v>
      </c>
      <c r="S19" s="16"/>
      <c r="T19" s="19" t="s">
        <v>833</v>
      </c>
      <c r="U19" s="19" t="s">
        <v>67</v>
      </c>
    </row>
    <row r="20" customFormat="false" ht="96" hidden="false" customHeight="true" outlineLevel="0" collapsed="false">
      <c r="A20" s="16" t="n">
        <v>16</v>
      </c>
      <c r="B20" s="16" t="s">
        <v>834</v>
      </c>
      <c r="C20" s="17" t="s">
        <v>835</v>
      </c>
      <c r="D20" s="17" t="s">
        <v>836</v>
      </c>
      <c r="E20" s="16" t="n">
        <v>2023</v>
      </c>
      <c r="F20" s="17" t="s">
        <v>796</v>
      </c>
      <c r="G20" s="16" t="s">
        <v>199</v>
      </c>
      <c r="H20" s="23" t="s">
        <v>19</v>
      </c>
      <c r="I20" s="17" t="s">
        <v>328</v>
      </c>
      <c r="J20" s="17" t="s">
        <v>837</v>
      </c>
      <c r="K20" s="17" t="s">
        <v>838</v>
      </c>
      <c r="L20" s="17" t="s">
        <v>839</v>
      </c>
      <c r="M20" s="17" t="s">
        <v>840</v>
      </c>
      <c r="N20" s="17" t="s">
        <v>841</v>
      </c>
      <c r="O20" s="17" t="s">
        <v>842</v>
      </c>
      <c r="P20" s="17" t="s">
        <v>843</v>
      </c>
      <c r="Q20" s="17" t="s">
        <v>844</v>
      </c>
      <c r="R20" s="16" t="s">
        <v>103</v>
      </c>
      <c r="S20" s="19" t="s">
        <v>845</v>
      </c>
      <c r="T20" s="19" t="s">
        <v>846</v>
      </c>
      <c r="U20" s="19" t="s">
        <v>67</v>
      </c>
    </row>
    <row r="21" customFormat="false" ht="96" hidden="false" customHeight="true" outlineLevel="0" collapsed="false">
      <c r="A21" s="16" t="n">
        <v>17</v>
      </c>
      <c r="B21" s="16" t="s">
        <v>847</v>
      </c>
      <c r="C21" s="17" t="s">
        <v>848</v>
      </c>
      <c r="D21" s="17" t="s">
        <v>849</v>
      </c>
      <c r="E21" s="16" t="n">
        <v>2023</v>
      </c>
      <c r="F21" s="17" t="s">
        <v>661</v>
      </c>
      <c r="G21" s="16" t="s">
        <v>199</v>
      </c>
      <c r="H21" s="22" t="s">
        <v>9</v>
      </c>
      <c r="I21" s="17" t="s">
        <v>223</v>
      </c>
      <c r="J21" s="17" t="s">
        <v>224</v>
      </c>
      <c r="K21" s="17" t="s">
        <v>850</v>
      </c>
      <c r="L21" s="17" t="s">
        <v>851</v>
      </c>
      <c r="M21" s="17" t="s">
        <v>852</v>
      </c>
      <c r="N21" s="17" t="s">
        <v>853</v>
      </c>
      <c r="O21" s="17" t="s">
        <v>854</v>
      </c>
      <c r="P21" s="17" t="s">
        <v>855</v>
      </c>
      <c r="Q21" s="17" t="s">
        <v>856</v>
      </c>
      <c r="R21" s="16" t="s">
        <v>65</v>
      </c>
      <c r="S21" s="16"/>
      <c r="T21" s="19" t="s">
        <v>857</v>
      </c>
      <c r="U21" s="19" t="s">
        <v>67</v>
      </c>
    </row>
    <row r="22" customFormat="false" ht="96" hidden="false" customHeight="true" outlineLevel="0" collapsed="false">
      <c r="A22" s="16" t="n">
        <v>18</v>
      </c>
      <c r="B22" s="16" t="s">
        <v>858</v>
      </c>
      <c r="C22" s="17" t="s">
        <v>859</v>
      </c>
      <c r="D22" s="17" t="s">
        <v>795</v>
      </c>
      <c r="E22" s="16" t="n">
        <v>2023</v>
      </c>
      <c r="F22" s="17" t="s">
        <v>237</v>
      </c>
      <c r="G22" s="16" t="s">
        <v>199</v>
      </c>
      <c r="H22" s="18" t="s">
        <v>23</v>
      </c>
      <c r="I22" s="17" t="s">
        <v>23</v>
      </c>
      <c r="J22" s="17" t="s">
        <v>860</v>
      </c>
      <c r="K22" s="17" t="s">
        <v>861</v>
      </c>
      <c r="L22" s="17" t="s">
        <v>862</v>
      </c>
      <c r="M22" s="17" t="s">
        <v>863</v>
      </c>
      <c r="N22" s="17" t="s">
        <v>864</v>
      </c>
      <c r="O22" s="17" t="s">
        <v>865</v>
      </c>
      <c r="P22" s="17" t="s">
        <v>866</v>
      </c>
      <c r="Q22" s="17" t="s">
        <v>867</v>
      </c>
      <c r="R22" s="16" t="s">
        <v>103</v>
      </c>
      <c r="S22" s="19" t="s">
        <v>805</v>
      </c>
      <c r="T22" s="19" t="s">
        <v>868</v>
      </c>
      <c r="U22" s="19" t="s">
        <v>67</v>
      </c>
    </row>
    <row r="23" customFormat="false" ht="96" hidden="false" customHeight="true" outlineLevel="0" collapsed="false">
      <c r="A23" s="16" t="n">
        <v>19</v>
      </c>
      <c r="B23" s="16" t="s">
        <v>869</v>
      </c>
      <c r="C23" s="17" t="s">
        <v>870</v>
      </c>
      <c r="D23" s="17" t="s">
        <v>871</v>
      </c>
      <c r="E23" s="16" t="n">
        <v>2023</v>
      </c>
      <c r="F23" s="17" t="s">
        <v>661</v>
      </c>
      <c r="G23" s="16" t="s">
        <v>199</v>
      </c>
      <c r="H23" s="23" t="s">
        <v>21</v>
      </c>
      <c r="I23" s="17" t="s">
        <v>328</v>
      </c>
      <c r="J23" s="17" t="s">
        <v>872</v>
      </c>
      <c r="K23" s="17" t="s">
        <v>663</v>
      </c>
      <c r="L23" s="17" t="s">
        <v>873</v>
      </c>
      <c r="M23" s="17" t="s">
        <v>874</v>
      </c>
      <c r="N23" s="17" t="s">
        <v>875</v>
      </c>
      <c r="O23" s="17" t="s">
        <v>463</v>
      </c>
      <c r="P23" s="17" t="s">
        <v>876</v>
      </c>
      <c r="Q23" s="17" t="s">
        <v>877</v>
      </c>
      <c r="R23" s="16" t="s">
        <v>103</v>
      </c>
      <c r="S23" s="19" t="s">
        <v>878</v>
      </c>
      <c r="T23" s="19" t="s">
        <v>879</v>
      </c>
      <c r="U23" s="19" t="s">
        <v>67</v>
      </c>
    </row>
    <row r="24" customFormat="false" ht="96" hidden="false" customHeight="true" outlineLevel="0" collapsed="false">
      <c r="A24" s="16" t="n">
        <v>20</v>
      </c>
      <c r="B24" s="16" t="s">
        <v>880</v>
      </c>
      <c r="C24" s="17" t="s">
        <v>881</v>
      </c>
      <c r="D24" s="17" t="s">
        <v>882</v>
      </c>
      <c r="E24" s="16" t="n">
        <v>2023</v>
      </c>
      <c r="F24" s="17" t="s">
        <v>883</v>
      </c>
      <c r="G24" s="16" t="s">
        <v>446</v>
      </c>
      <c r="H24" s="23" t="s">
        <v>21</v>
      </c>
      <c r="I24" s="17" t="s">
        <v>328</v>
      </c>
      <c r="J24" s="17" t="s">
        <v>884</v>
      </c>
      <c r="K24" s="17" t="s">
        <v>885</v>
      </c>
      <c r="L24" s="17" t="s">
        <v>886</v>
      </c>
      <c r="M24" s="17" t="s">
        <v>887</v>
      </c>
      <c r="N24" s="17" t="s">
        <v>888</v>
      </c>
      <c r="O24" s="17" t="s">
        <v>76</v>
      </c>
      <c r="P24" s="17" t="s">
        <v>889</v>
      </c>
      <c r="Q24" s="17" t="s">
        <v>890</v>
      </c>
      <c r="R24" s="16" t="s">
        <v>103</v>
      </c>
      <c r="S24" s="19" t="s">
        <v>891</v>
      </c>
      <c r="T24" s="19" t="s">
        <v>892</v>
      </c>
      <c r="U24" s="19" t="s">
        <v>67</v>
      </c>
    </row>
    <row r="25" customFormat="false" ht="96" hidden="false" customHeight="true" outlineLevel="0" collapsed="false">
      <c r="A25" s="16" t="n">
        <v>21</v>
      </c>
      <c r="B25" s="16" t="s">
        <v>893</v>
      </c>
      <c r="C25" s="17" t="s">
        <v>894</v>
      </c>
      <c r="D25" s="17" t="s">
        <v>895</v>
      </c>
      <c r="E25" s="16" t="n">
        <v>2023</v>
      </c>
      <c r="F25" s="17" t="s">
        <v>291</v>
      </c>
      <c r="G25" s="16" t="s">
        <v>199</v>
      </c>
      <c r="H25" s="22" t="s">
        <v>9</v>
      </c>
      <c r="I25" s="17" t="s">
        <v>223</v>
      </c>
      <c r="J25" s="17" t="s">
        <v>896</v>
      </c>
      <c r="K25" s="17" t="s">
        <v>897</v>
      </c>
      <c r="L25" s="17" t="s">
        <v>898</v>
      </c>
      <c r="M25" s="17" t="s">
        <v>899</v>
      </c>
      <c r="N25" s="17" t="s">
        <v>900</v>
      </c>
      <c r="O25" s="17" t="s">
        <v>901</v>
      </c>
      <c r="P25" s="17" t="s">
        <v>902</v>
      </c>
      <c r="Q25" s="17" t="s">
        <v>903</v>
      </c>
      <c r="R25" s="16" t="s">
        <v>65</v>
      </c>
      <c r="S25" s="16"/>
      <c r="T25" s="19" t="s">
        <v>904</v>
      </c>
      <c r="U25" s="19" t="s">
        <v>67</v>
      </c>
    </row>
    <row r="26" customFormat="false" ht="96" hidden="false" customHeight="true" outlineLevel="0" collapsed="false">
      <c r="A26" s="16" t="n">
        <v>22</v>
      </c>
      <c r="B26" s="16" t="s">
        <v>905</v>
      </c>
      <c r="C26" s="17" t="s">
        <v>906</v>
      </c>
      <c r="D26" s="17" t="s">
        <v>771</v>
      </c>
      <c r="E26" s="16" t="n">
        <v>2023</v>
      </c>
      <c r="F26" s="17" t="s">
        <v>907</v>
      </c>
      <c r="G26" s="16" t="s">
        <v>148</v>
      </c>
      <c r="H26" s="18" t="s">
        <v>23</v>
      </c>
      <c r="I26" s="17" t="s">
        <v>23</v>
      </c>
      <c r="J26" s="17" t="s">
        <v>642</v>
      </c>
      <c r="K26" s="17" t="s">
        <v>908</v>
      </c>
      <c r="L26" s="17" t="s">
        <v>909</v>
      </c>
      <c r="M26" s="17" t="s">
        <v>910</v>
      </c>
      <c r="N26" s="17" t="s">
        <v>777</v>
      </c>
      <c r="O26" s="17" t="s">
        <v>76</v>
      </c>
      <c r="P26" s="17" t="s">
        <v>911</v>
      </c>
      <c r="Q26" s="17" t="s">
        <v>912</v>
      </c>
      <c r="R26" s="16" t="s">
        <v>65</v>
      </c>
      <c r="S26" s="16"/>
      <c r="T26" s="19" t="s">
        <v>913</v>
      </c>
      <c r="U26" s="19" t="s">
        <v>67</v>
      </c>
    </row>
    <row r="27" customFormat="false" ht="96" hidden="false" customHeight="true" outlineLevel="0" collapsed="false">
      <c r="A27" s="16" t="n">
        <v>23</v>
      </c>
      <c r="B27" s="16" t="s">
        <v>914</v>
      </c>
      <c r="C27" s="17" t="s">
        <v>915</v>
      </c>
      <c r="D27" s="17" t="s">
        <v>916</v>
      </c>
      <c r="E27" s="16" t="n">
        <v>2023</v>
      </c>
      <c r="F27" s="17" t="s">
        <v>883</v>
      </c>
      <c r="G27" s="16" t="s">
        <v>446</v>
      </c>
      <c r="H27" s="21" t="s">
        <v>13</v>
      </c>
      <c r="I27" s="17" t="s">
        <v>125</v>
      </c>
      <c r="J27" s="17" t="s">
        <v>917</v>
      </c>
      <c r="K27" s="17" t="s">
        <v>918</v>
      </c>
      <c r="L27" s="17" t="s">
        <v>919</v>
      </c>
      <c r="M27" s="17" t="s">
        <v>920</v>
      </c>
      <c r="N27" s="17" t="s">
        <v>921</v>
      </c>
      <c r="O27" s="17" t="s">
        <v>922</v>
      </c>
      <c r="P27" s="17" t="s">
        <v>923</v>
      </c>
      <c r="Q27" s="17" t="s">
        <v>924</v>
      </c>
      <c r="R27" s="16" t="s">
        <v>65</v>
      </c>
      <c r="S27" s="16"/>
      <c r="T27" s="19" t="s">
        <v>925</v>
      </c>
      <c r="U27" s="19" t="s">
        <v>67</v>
      </c>
    </row>
    <row r="28" customFormat="false" ht="96" hidden="false" customHeight="true" outlineLevel="0" collapsed="false">
      <c r="A28" s="16" t="n">
        <v>24</v>
      </c>
      <c r="B28" s="16" t="s">
        <v>926</v>
      </c>
      <c r="C28" s="17" t="s">
        <v>927</v>
      </c>
      <c r="D28" s="17" t="s">
        <v>928</v>
      </c>
      <c r="E28" s="16" t="n">
        <v>2023</v>
      </c>
      <c r="F28" s="17" t="s">
        <v>661</v>
      </c>
      <c r="G28" s="16" t="s">
        <v>199</v>
      </c>
      <c r="H28" s="23" t="s">
        <v>19</v>
      </c>
      <c r="I28" s="17" t="s">
        <v>328</v>
      </c>
      <c r="J28" s="17" t="s">
        <v>929</v>
      </c>
      <c r="K28" s="17" t="s">
        <v>930</v>
      </c>
      <c r="L28" s="17" t="s">
        <v>931</v>
      </c>
      <c r="M28" s="17" t="s">
        <v>932</v>
      </c>
      <c r="N28" s="17" t="s">
        <v>333</v>
      </c>
      <c r="O28" s="17" t="s">
        <v>334</v>
      </c>
      <c r="P28" s="17" t="s">
        <v>933</v>
      </c>
      <c r="Q28" s="17" t="s">
        <v>934</v>
      </c>
      <c r="R28" s="16" t="s">
        <v>103</v>
      </c>
      <c r="S28" s="19" t="s">
        <v>935</v>
      </c>
      <c r="T28" s="19" t="s">
        <v>936</v>
      </c>
      <c r="U28" s="19" t="s">
        <v>67</v>
      </c>
    </row>
    <row r="29" customFormat="false" ht="96" hidden="false" customHeight="true" outlineLevel="0" collapsed="false">
      <c r="A29" s="16" t="n">
        <v>25</v>
      </c>
      <c r="B29" s="16" t="s">
        <v>937</v>
      </c>
      <c r="C29" s="17" t="s">
        <v>938</v>
      </c>
      <c r="D29" s="17" t="s">
        <v>939</v>
      </c>
      <c r="E29" s="16" t="n">
        <v>2023</v>
      </c>
      <c r="F29" s="17" t="s">
        <v>907</v>
      </c>
      <c r="G29" s="16" t="s">
        <v>148</v>
      </c>
      <c r="H29" s="18" t="s">
        <v>23</v>
      </c>
      <c r="I29" s="17" t="s">
        <v>23</v>
      </c>
      <c r="J29" s="17" t="s">
        <v>940</v>
      </c>
      <c r="K29" s="17" t="s">
        <v>941</v>
      </c>
      <c r="L29" s="17" t="s">
        <v>942</v>
      </c>
      <c r="M29" s="17" t="s">
        <v>943</v>
      </c>
      <c r="N29" s="17" t="s">
        <v>944</v>
      </c>
      <c r="O29" s="17" t="s">
        <v>76</v>
      </c>
      <c r="P29" s="17" t="s">
        <v>945</v>
      </c>
      <c r="Q29" s="17" t="s">
        <v>946</v>
      </c>
      <c r="R29" s="16" t="s">
        <v>65</v>
      </c>
      <c r="S29" s="16"/>
      <c r="T29" s="19" t="s">
        <v>947</v>
      </c>
      <c r="U29" s="19" t="s">
        <v>67</v>
      </c>
    </row>
    <row r="30" customFormat="false" ht="96" hidden="false" customHeight="true" outlineLevel="0" collapsed="false">
      <c r="A30" s="16" t="n">
        <v>26</v>
      </c>
      <c r="B30" s="16" t="s">
        <v>948</v>
      </c>
      <c r="C30" s="17" t="s">
        <v>949</v>
      </c>
      <c r="D30" s="17" t="s">
        <v>950</v>
      </c>
      <c r="E30" s="16" t="n">
        <v>2023</v>
      </c>
      <c r="F30" s="17" t="s">
        <v>675</v>
      </c>
      <c r="G30" s="16" t="s">
        <v>148</v>
      </c>
      <c r="H30" s="18" t="s">
        <v>23</v>
      </c>
      <c r="I30" s="17" t="s">
        <v>23</v>
      </c>
      <c r="J30" s="17" t="s">
        <v>631</v>
      </c>
      <c r="K30" s="17" t="s">
        <v>951</v>
      </c>
      <c r="L30" s="17" t="s">
        <v>952</v>
      </c>
      <c r="M30" s="17" t="s">
        <v>953</v>
      </c>
      <c r="N30" s="17" t="s">
        <v>954</v>
      </c>
      <c r="O30" s="17" t="s">
        <v>76</v>
      </c>
      <c r="P30" s="17" t="s">
        <v>955</v>
      </c>
      <c r="Q30" s="17" t="s">
        <v>956</v>
      </c>
      <c r="R30" s="16" t="s">
        <v>103</v>
      </c>
      <c r="S30" s="19" t="s">
        <v>957</v>
      </c>
      <c r="T30" s="19" t="s">
        <v>958</v>
      </c>
      <c r="U30" s="19" t="s">
        <v>67</v>
      </c>
    </row>
    <row r="31" customFormat="false" ht="96" hidden="false" customHeight="true" outlineLevel="0" collapsed="false">
      <c r="A31" s="16" t="n">
        <v>27</v>
      </c>
      <c r="B31" s="16" t="s">
        <v>959</v>
      </c>
      <c r="C31" s="17" t="s">
        <v>960</v>
      </c>
      <c r="D31" s="17" t="s">
        <v>961</v>
      </c>
      <c r="E31" s="16" t="n">
        <v>2023</v>
      </c>
      <c r="F31" s="17" t="s">
        <v>237</v>
      </c>
      <c r="G31" s="16" t="s">
        <v>199</v>
      </c>
      <c r="H31" s="22" t="s">
        <v>9</v>
      </c>
      <c r="I31" s="17" t="s">
        <v>223</v>
      </c>
      <c r="J31" s="17" t="s">
        <v>962</v>
      </c>
      <c r="K31" s="17" t="s">
        <v>963</v>
      </c>
      <c r="L31" s="17" t="s">
        <v>964</v>
      </c>
      <c r="M31" s="17" t="s">
        <v>965</v>
      </c>
      <c r="N31" s="17" t="s">
        <v>966</v>
      </c>
      <c r="O31" s="17" t="s">
        <v>967</v>
      </c>
      <c r="P31" s="17" t="s">
        <v>968</v>
      </c>
      <c r="Q31" s="17" t="s">
        <v>969</v>
      </c>
      <c r="R31" s="16" t="s">
        <v>65</v>
      </c>
      <c r="S31" s="16"/>
      <c r="T31" s="19" t="s">
        <v>970</v>
      </c>
      <c r="U31" s="19" t="s">
        <v>67</v>
      </c>
    </row>
    <row r="32" customFormat="false" ht="96" hidden="false" customHeight="true" outlineLevel="0" collapsed="false">
      <c r="A32" s="16" t="n">
        <v>28</v>
      </c>
      <c r="B32" s="16" t="s">
        <v>971</v>
      </c>
      <c r="C32" s="17" t="s">
        <v>972</v>
      </c>
      <c r="D32" s="17" t="s">
        <v>973</v>
      </c>
      <c r="E32" s="16" t="n">
        <v>2023</v>
      </c>
      <c r="F32" s="17" t="s">
        <v>411</v>
      </c>
      <c r="G32" s="16" t="s">
        <v>199</v>
      </c>
      <c r="H32" s="26" t="s">
        <v>17</v>
      </c>
      <c r="I32" s="17" t="s">
        <v>17</v>
      </c>
      <c r="J32" s="17" t="s">
        <v>974</v>
      </c>
      <c r="K32" s="17" t="s">
        <v>975</v>
      </c>
      <c r="L32" s="17" t="s">
        <v>976</v>
      </c>
      <c r="M32" s="17" t="s">
        <v>977</v>
      </c>
      <c r="N32" s="17" t="s">
        <v>978</v>
      </c>
      <c r="O32" s="17" t="s">
        <v>979</v>
      </c>
      <c r="P32" s="17" t="s">
        <v>980</v>
      </c>
      <c r="Q32" s="17" t="s">
        <v>981</v>
      </c>
      <c r="R32" s="16" t="s">
        <v>65</v>
      </c>
      <c r="S32" s="16"/>
      <c r="T32" s="19" t="s">
        <v>982</v>
      </c>
      <c r="U32" s="19" t="s">
        <v>67</v>
      </c>
    </row>
    <row r="33" customFormat="false" ht="96" hidden="false" customHeight="true" outlineLevel="0" collapsed="false">
      <c r="A33" s="16" t="n">
        <v>29</v>
      </c>
      <c r="B33" s="16" t="s">
        <v>983</v>
      </c>
      <c r="C33" s="17" t="s">
        <v>984</v>
      </c>
      <c r="D33" s="17" t="s">
        <v>985</v>
      </c>
      <c r="E33" s="16" t="n">
        <v>2023</v>
      </c>
      <c r="F33" s="17" t="s">
        <v>796</v>
      </c>
      <c r="G33" s="16" t="s">
        <v>199</v>
      </c>
      <c r="H33" s="22" t="s">
        <v>9</v>
      </c>
      <c r="I33" s="17" t="s">
        <v>223</v>
      </c>
      <c r="J33" s="17" t="s">
        <v>279</v>
      </c>
      <c r="K33" s="17" t="s">
        <v>986</v>
      </c>
      <c r="L33" s="17" t="s">
        <v>987</v>
      </c>
      <c r="M33" s="17" t="s">
        <v>988</v>
      </c>
      <c r="N33" s="17" t="s">
        <v>989</v>
      </c>
      <c r="O33" s="17" t="s">
        <v>990</v>
      </c>
      <c r="P33" s="17" t="s">
        <v>991</v>
      </c>
      <c r="Q33" s="17" t="s">
        <v>992</v>
      </c>
      <c r="R33" s="16" t="s">
        <v>65</v>
      </c>
      <c r="S33" s="16"/>
      <c r="T33" s="19" t="s">
        <v>993</v>
      </c>
      <c r="U33" s="19" t="s">
        <v>67</v>
      </c>
    </row>
    <row r="34" customFormat="false" ht="96" hidden="false" customHeight="true" outlineLevel="0" collapsed="false">
      <c r="A34" s="16" t="n">
        <v>30</v>
      </c>
      <c r="B34" s="16" t="s">
        <v>994</v>
      </c>
      <c r="C34" s="17" t="s">
        <v>995</v>
      </c>
      <c r="D34" s="17" t="s">
        <v>996</v>
      </c>
      <c r="E34" s="16" t="n">
        <v>2023</v>
      </c>
      <c r="F34" s="17" t="s">
        <v>605</v>
      </c>
      <c r="G34" s="16" t="s">
        <v>148</v>
      </c>
      <c r="H34" s="21" t="s">
        <v>13</v>
      </c>
      <c r="I34" s="17" t="s">
        <v>125</v>
      </c>
      <c r="J34" s="17" t="s">
        <v>631</v>
      </c>
      <c r="K34" s="17" t="s">
        <v>997</v>
      </c>
      <c r="L34" s="17" t="s">
        <v>998</v>
      </c>
      <c r="M34" s="17" t="s">
        <v>999</v>
      </c>
      <c r="N34" s="17" t="s">
        <v>750</v>
      </c>
      <c r="O34" s="17" t="s">
        <v>1000</v>
      </c>
      <c r="P34" s="17" t="s">
        <v>1001</v>
      </c>
      <c r="Q34" s="17" t="s">
        <v>1002</v>
      </c>
      <c r="R34" s="16" t="s">
        <v>103</v>
      </c>
      <c r="S34" s="19" t="s">
        <v>1003</v>
      </c>
      <c r="T34" s="19" t="s">
        <v>1004</v>
      </c>
      <c r="U34" s="19" t="s">
        <v>67</v>
      </c>
    </row>
    <row r="35" customFormat="false" ht="96" hidden="false" customHeight="true" outlineLevel="0" collapsed="false">
      <c r="A35" s="16" t="n">
        <v>31</v>
      </c>
      <c r="B35" s="16" t="s">
        <v>1005</v>
      </c>
      <c r="C35" s="17" t="s">
        <v>1006</v>
      </c>
      <c r="D35" s="17" t="s">
        <v>1007</v>
      </c>
      <c r="E35" s="16" t="n">
        <v>2023</v>
      </c>
      <c r="F35" s="17" t="s">
        <v>661</v>
      </c>
      <c r="G35" s="16" t="s">
        <v>199</v>
      </c>
      <c r="H35" s="24" t="s">
        <v>15</v>
      </c>
      <c r="I35" s="17" t="s">
        <v>592</v>
      </c>
      <c r="J35" s="17" t="s">
        <v>593</v>
      </c>
      <c r="K35" s="17" t="s">
        <v>1008</v>
      </c>
      <c r="L35" s="17" t="s">
        <v>1009</v>
      </c>
      <c r="M35" s="17" t="s">
        <v>1010</v>
      </c>
      <c r="N35" s="17" t="s">
        <v>1011</v>
      </c>
      <c r="O35" s="17" t="s">
        <v>334</v>
      </c>
      <c r="P35" s="17" t="s">
        <v>1012</v>
      </c>
      <c r="Q35" s="17" t="s">
        <v>1013</v>
      </c>
      <c r="R35" s="16" t="s">
        <v>103</v>
      </c>
      <c r="S35" s="19" t="s">
        <v>600</v>
      </c>
      <c r="T35" s="19" t="s">
        <v>1014</v>
      </c>
      <c r="U35" s="19" t="s">
        <v>67</v>
      </c>
    </row>
    <row r="36" customFormat="false" ht="96" hidden="false" customHeight="true" outlineLevel="0" collapsed="false">
      <c r="A36" s="16" t="n">
        <v>32</v>
      </c>
      <c r="B36" s="16" t="s">
        <v>1015</v>
      </c>
      <c r="C36" s="17" t="s">
        <v>1016</v>
      </c>
      <c r="D36" s="17" t="s">
        <v>1017</v>
      </c>
      <c r="E36" s="16" t="n">
        <v>2023</v>
      </c>
      <c r="F36" s="17" t="s">
        <v>675</v>
      </c>
      <c r="G36" s="16" t="s">
        <v>148</v>
      </c>
      <c r="H36" s="21" t="s">
        <v>13</v>
      </c>
      <c r="I36" s="17" t="s">
        <v>125</v>
      </c>
      <c r="J36" s="17" t="s">
        <v>1018</v>
      </c>
      <c r="K36" s="17" t="s">
        <v>1019</v>
      </c>
      <c r="L36" s="17" t="s">
        <v>1020</v>
      </c>
      <c r="M36" s="17" t="s">
        <v>1021</v>
      </c>
      <c r="N36" s="17" t="s">
        <v>1022</v>
      </c>
      <c r="O36" s="17" t="s">
        <v>1023</v>
      </c>
      <c r="P36" s="17" t="s">
        <v>1024</v>
      </c>
      <c r="Q36" s="17" t="s">
        <v>1025</v>
      </c>
      <c r="R36" s="16" t="s">
        <v>103</v>
      </c>
      <c r="S36" s="19" t="s">
        <v>1026</v>
      </c>
      <c r="T36" s="19" t="s">
        <v>1027</v>
      </c>
      <c r="U36" s="19" t="s">
        <v>67</v>
      </c>
    </row>
    <row r="37" customFormat="false" ht="96" hidden="false" customHeight="true" outlineLevel="0" collapsed="false">
      <c r="A37" s="16" t="n">
        <v>33</v>
      </c>
      <c r="B37" s="16" t="s">
        <v>1028</v>
      </c>
      <c r="C37" s="17" t="s">
        <v>1029</v>
      </c>
      <c r="D37" s="17" t="s">
        <v>1030</v>
      </c>
      <c r="E37" s="16" t="n">
        <v>2023</v>
      </c>
      <c r="F37" s="17" t="s">
        <v>209</v>
      </c>
      <c r="G37" s="16" t="s">
        <v>199</v>
      </c>
      <c r="H37" s="22" t="s">
        <v>9</v>
      </c>
      <c r="I37" s="17" t="s">
        <v>223</v>
      </c>
      <c r="J37" s="17" t="s">
        <v>224</v>
      </c>
      <c r="K37" s="17" t="s">
        <v>1031</v>
      </c>
      <c r="L37" s="17" t="s">
        <v>1032</v>
      </c>
      <c r="M37" s="17" t="s">
        <v>1033</v>
      </c>
      <c r="N37" s="17" t="s">
        <v>1034</v>
      </c>
      <c r="O37" s="17" t="s">
        <v>1035</v>
      </c>
      <c r="P37" s="17" t="s">
        <v>1036</v>
      </c>
      <c r="Q37" s="17" t="s">
        <v>1037</v>
      </c>
      <c r="R37" s="16" t="s">
        <v>103</v>
      </c>
      <c r="S37" s="19" t="s">
        <v>1038</v>
      </c>
      <c r="T37" s="19" t="s">
        <v>1039</v>
      </c>
      <c r="U37" s="19" t="s">
        <v>67</v>
      </c>
    </row>
    <row r="38" customFormat="false" ht="96" hidden="false" customHeight="true" outlineLevel="0" collapsed="false">
      <c r="A38" s="16" t="n">
        <v>34</v>
      </c>
      <c r="B38" s="16" t="s">
        <v>1040</v>
      </c>
      <c r="C38" s="17" t="s">
        <v>1041</v>
      </c>
      <c r="D38" s="17" t="s">
        <v>1042</v>
      </c>
      <c r="E38" s="16" t="n">
        <v>2023</v>
      </c>
      <c r="F38" s="17" t="s">
        <v>907</v>
      </c>
      <c r="G38" s="16" t="s">
        <v>148</v>
      </c>
      <c r="H38" s="23" t="s">
        <v>21</v>
      </c>
      <c r="I38" s="17" t="s">
        <v>328</v>
      </c>
      <c r="J38" s="17" t="s">
        <v>1043</v>
      </c>
      <c r="K38" s="17" t="s">
        <v>1044</v>
      </c>
      <c r="L38" s="17" t="s">
        <v>1045</v>
      </c>
      <c r="M38" s="17" t="s">
        <v>1046</v>
      </c>
      <c r="N38" s="17" t="s">
        <v>1047</v>
      </c>
      <c r="O38" s="17" t="s">
        <v>1048</v>
      </c>
      <c r="P38" s="17" t="s">
        <v>1049</v>
      </c>
      <c r="Q38" s="17" t="s">
        <v>1050</v>
      </c>
      <c r="R38" s="16" t="s">
        <v>103</v>
      </c>
      <c r="S38" s="19" t="s">
        <v>1051</v>
      </c>
      <c r="T38" s="19" t="s">
        <v>1052</v>
      </c>
      <c r="U38" s="19" t="s">
        <v>67</v>
      </c>
    </row>
    <row r="39" customFormat="false" ht="96" hidden="false" customHeight="true" outlineLevel="0" collapsed="false">
      <c r="A39" s="16" t="n">
        <v>35</v>
      </c>
      <c r="B39" s="16" t="s">
        <v>1053</v>
      </c>
      <c r="C39" s="17" t="s">
        <v>1054</v>
      </c>
      <c r="D39" s="17" t="s">
        <v>1055</v>
      </c>
      <c r="E39" s="16" t="n">
        <v>2023</v>
      </c>
      <c r="F39" s="17" t="s">
        <v>557</v>
      </c>
      <c r="G39" s="16" t="s">
        <v>446</v>
      </c>
      <c r="H39" s="20" t="s">
        <v>25</v>
      </c>
      <c r="I39" s="17" t="s">
        <v>72</v>
      </c>
      <c r="J39" s="17" t="s">
        <v>73</v>
      </c>
      <c r="K39" s="17" t="s">
        <v>73</v>
      </c>
      <c r="L39" s="17" t="s">
        <v>1056</v>
      </c>
      <c r="M39" s="17" t="s">
        <v>1057</v>
      </c>
      <c r="N39" s="17" t="s">
        <v>76</v>
      </c>
      <c r="O39" s="17" t="s">
        <v>76</v>
      </c>
      <c r="P39" s="17" t="s">
        <v>1058</v>
      </c>
      <c r="Q39" s="17" t="s">
        <v>1059</v>
      </c>
      <c r="R39" s="16" t="s">
        <v>65</v>
      </c>
      <c r="S39" s="16"/>
      <c r="T39" s="19" t="s">
        <v>1060</v>
      </c>
      <c r="U39" s="19" t="s">
        <v>67</v>
      </c>
    </row>
    <row r="40" customFormat="false" ht="96" hidden="false" customHeight="true" outlineLevel="0" collapsed="false">
      <c r="A40" s="16" t="n">
        <v>36</v>
      </c>
      <c r="B40" s="16" t="s">
        <v>1061</v>
      </c>
      <c r="C40" s="17" t="s">
        <v>1062</v>
      </c>
      <c r="D40" s="17" t="s">
        <v>1063</v>
      </c>
      <c r="E40" s="16" t="n">
        <v>2023</v>
      </c>
      <c r="F40" s="17" t="s">
        <v>1064</v>
      </c>
      <c r="G40" s="16" t="s">
        <v>84</v>
      </c>
      <c r="H40" s="23" t="s">
        <v>19</v>
      </c>
      <c r="I40" s="17" t="s">
        <v>328</v>
      </c>
      <c r="J40" s="17" t="s">
        <v>713</v>
      </c>
      <c r="K40" s="17" t="s">
        <v>73</v>
      </c>
      <c r="L40" s="17" t="s">
        <v>1065</v>
      </c>
      <c r="M40" s="17" t="s">
        <v>1066</v>
      </c>
      <c r="N40" s="17" t="s">
        <v>76</v>
      </c>
      <c r="O40" s="17" t="s">
        <v>76</v>
      </c>
      <c r="P40" s="17" t="s">
        <v>1067</v>
      </c>
      <c r="Q40" s="17" t="s">
        <v>1068</v>
      </c>
      <c r="R40" s="16" t="s">
        <v>65</v>
      </c>
      <c r="S40" s="16"/>
      <c r="T40" s="19" t="s">
        <v>1069</v>
      </c>
      <c r="U40" s="19" t="s">
        <v>67</v>
      </c>
    </row>
    <row r="41" customFormat="false" ht="96" hidden="false" customHeight="true" outlineLevel="0" collapsed="false">
      <c r="A41" s="16" t="n">
        <v>37</v>
      </c>
      <c r="B41" s="16" t="s">
        <v>1070</v>
      </c>
      <c r="C41" s="17" t="s">
        <v>1071</v>
      </c>
      <c r="D41" s="17" t="s">
        <v>1072</v>
      </c>
      <c r="E41" s="16" t="n">
        <v>2023</v>
      </c>
      <c r="F41" s="17" t="s">
        <v>907</v>
      </c>
      <c r="G41" s="16" t="s">
        <v>148</v>
      </c>
      <c r="H41" s="23" t="s">
        <v>21</v>
      </c>
      <c r="I41" s="17" t="s">
        <v>328</v>
      </c>
      <c r="J41" s="17" t="s">
        <v>1073</v>
      </c>
      <c r="K41" s="17" t="s">
        <v>1074</v>
      </c>
      <c r="L41" s="17" t="s">
        <v>1075</v>
      </c>
      <c r="M41" s="17" t="s">
        <v>1076</v>
      </c>
      <c r="N41" s="17" t="s">
        <v>1077</v>
      </c>
      <c r="O41" s="17" t="s">
        <v>1078</v>
      </c>
      <c r="P41" s="17" t="s">
        <v>1079</v>
      </c>
      <c r="Q41" s="17" t="s">
        <v>1080</v>
      </c>
      <c r="R41" s="16" t="s">
        <v>103</v>
      </c>
      <c r="S41" s="19" t="s">
        <v>1081</v>
      </c>
      <c r="T41" s="19" t="s">
        <v>1082</v>
      </c>
      <c r="U41" s="19" t="s">
        <v>67</v>
      </c>
    </row>
    <row r="42" customFormat="false" ht="96" hidden="false" customHeight="true" outlineLevel="0" collapsed="false">
      <c r="A42" s="16" t="n">
        <v>38</v>
      </c>
      <c r="B42" s="16" t="s">
        <v>1083</v>
      </c>
      <c r="C42" s="17" t="s">
        <v>1084</v>
      </c>
      <c r="D42" s="17" t="s">
        <v>1085</v>
      </c>
      <c r="E42" s="16" t="n">
        <v>2023</v>
      </c>
      <c r="F42" s="17" t="s">
        <v>327</v>
      </c>
      <c r="G42" s="16" t="s">
        <v>148</v>
      </c>
      <c r="H42" s="21" t="s">
        <v>13</v>
      </c>
      <c r="I42" s="17" t="s">
        <v>125</v>
      </c>
      <c r="J42" s="17" t="s">
        <v>631</v>
      </c>
      <c r="K42" s="17" t="s">
        <v>1086</v>
      </c>
      <c r="L42" s="17" t="s">
        <v>1087</v>
      </c>
      <c r="M42" s="17" t="s">
        <v>1088</v>
      </c>
      <c r="N42" s="17" t="s">
        <v>1089</v>
      </c>
      <c r="O42" s="17" t="s">
        <v>549</v>
      </c>
      <c r="P42" s="17" t="s">
        <v>1090</v>
      </c>
      <c r="Q42" s="17" t="s">
        <v>1091</v>
      </c>
      <c r="R42" s="16" t="s">
        <v>65</v>
      </c>
      <c r="S42" s="16"/>
      <c r="T42" s="19" t="s">
        <v>1092</v>
      </c>
      <c r="U42" s="19" t="s">
        <v>67</v>
      </c>
    </row>
    <row r="43" customFormat="false" ht="96" hidden="false" customHeight="true" outlineLevel="0" collapsed="false">
      <c r="A43" s="16" t="n">
        <v>39</v>
      </c>
      <c r="B43" s="16" t="s">
        <v>1093</v>
      </c>
      <c r="C43" s="17" t="s">
        <v>1094</v>
      </c>
      <c r="D43" s="17" t="s">
        <v>1095</v>
      </c>
      <c r="E43" s="16" t="n">
        <v>2023</v>
      </c>
      <c r="F43" s="17" t="s">
        <v>209</v>
      </c>
      <c r="G43" s="16" t="s">
        <v>199</v>
      </c>
      <c r="H43" s="21" t="s">
        <v>13</v>
      </c>
      <c r="I43" s="17" t="s">
        <v>125</v>
      </c>
      <c r="J43" s="17" t="s">
        <v>1096</v>
      </c>
      <c r="K43" s="17" t="s">
        <v>1097</v>
      </c>
      <c r="L43" s="17" t="s">
        <v>1098</v>
      </c>
      <c r="M43" s="17" t="s">
        <v>1099</v>
      </c>
      <c r="N43" s="17" t="s">
        <v>1100</v>
      </c>
      <c r="O43" s="17" t="s">
        <v>549</v>
      </c>
      <c r="P43" s="17" t="s">
        <v>1101</v>
      </c>
      <c r="Q43" s="17" t="s">
        <v>1102</v>
      </c>
      <c r="R43" s="16" t="s">
        <v>103</v>
      </c>
      <c r="S43" s="19" t="s">
        <v>1103</v>
      </c>
      <c r="T43" s="19" t="s">
        <v>1104</v>
      </c>
      <c r="U43" s="19" t="s">
        <v>67</v>
      </c>
    </row>
    <row r="44" customFormat="false" ht="96" hidden="false" customHeight="true" outlineLevel="0" collapsed="false">
      <c r="A44" s="16" t="n">
        <v>40</v>
      </c>
      <c r="B44" s="16" t="s">
        <v>1105</v>
      </c>
      <c r="C44" s="17" t="s">
        <v>1106</v>
      </c>
      <c r="D44" s="17" t="s">
        <v>1107</v>
      </c>
      <c r="E44" s="16" t="n">
        <v>2023</v>
      </c>
      <c r="F44" s="17" t="s">
        <v>1108</v>
      </c>
      <c r="G44" s="16" t="s">
        <v>162</v>
      </c>
      <c r="H44" s="20" t="s">
        <v>25</v>
      </c>
      <c r="I44" s="17" t="s">
        <v>72</v>
      </c>
      <c r="J44" s="17" t="s">
        <v>1109</v>
      </c>
      <c r="K44" s="17" t="s">
        <v>1109</v>
      </c>
      <c r="L44" s="17" t="s">
        <v>1110</v>
      </c>
      <c r="M44" s="17" t="s">
        <v>1111</v>
      </c>
      <c r="N44" s="17" t="s">
        <v>1112</v>
      </c>
      <c r="O44" s="17" t="s">
        <v>76</v>
      </c>
      <c r="P44" s="17" t="s">
        <v>1113</v>
      </c>
      <c r="Q44" s="17" t="s">
        <v>1114</v>
      </c>
      <c r="R44" s="16" t="s">
        <v>65</v>
      </c>
      <c r="S44" s="16"/>
      <c r="T44" s="19" t="s">
        <v>1115</v>
      </c>
      <c r="U44" s="19" t="s">
        <v>67</v>
      </c>
    </row>
    <row r="45" customFormat="false" ht="96" hidden="false" customHeight="true" outlineLevel="0" collapsed="false">
      <c r="A45" s="16" t="n">
        <v>41</v>
      </c>
      <c r="B45" s="16" t="s">
        <v>1116</v>
      </c>
      <c r="C45" s="17" t="s">
        <v>1117</v>
      </c>
      <c r="D45" s="17" t="s">
        <v>758</v>
      </c>
      <c r="E45" s="16" t="n">
        <v>2023</v>
      </c>
      <c r="F45" s="17" t="s">
        <v>83</v>
      </c>
      <c r="G45" s="16" t="s">
        <v>84</v>
      </c>
      <c r="H45" s="23" t="s">
        <v>21</v>
      </c>
      <c r="I45" s="17" t="s">
        <v>328</v>
      </c>
      <c r="J45" s="17" t="s">
        <v>1118</v>
      </c>
      <c r="K45" s="17" t="s">
        <v>760</v>
      </c>
      <c r="L45" s="17" t="s">
        <v>1119</v>
      </c>
      <c r="M45" s="17" t="s">
        <v>1120</v>
      </c>
      <c r="N45" s="17" t="s">
        <v>1121</v>
      </c>
      <c r="O45" s="17" t="s">
        <v>1078</v>
      </c>
      <c r="P45" s="17" t="s">
        <v>1122</v>
      </c>
      <c r="Q45" s="17" t="s">
        <v>1123</v>
      </c>
      <c r="R45" s="16" t="s">
        <v>65</v>
      </c>
      <c r="S45" s="16"/>
      <c r="T45" s="19" t="s">
        <v>1124</v>
      </c>
      <c r="U45" s="19" t="s">
        <v>67</v>
      </c>
    </row>
  </sheetData>
  <autoFilter ref="A4:U45"/>
  <hyperlinks>
    <hyperlink ref="T5" r:id="rId1" display="https://arxiv.org/abs/2007.07646"/>
    <hyperlink ref="U5" r:id="rId2" display="Search"/>
    <hyperlink ref="S6" r:id="rId3" display="https://github.com/nupurkmr9/concept-ablation"/>
    <hyperlink ref="T6" r:id="rId4" display="https://arxiv.org/abs/2303.13516"/>
    <hyperlink ref="U6" r:id="rId5" display="Search"/>
    <hyperlink ref="S7" r:id="rId6" display="https://github.com/mist-project/mist"/>
    <hyperlink ref="T7" r:id="rId7" display="https://arxiv.org/abs/2302.04578"/>
    <hyperlink ref="U7" r:id="rId8" display="Search"/>
    <hyperlink ref="S8" r:id="rId9" display="https://github.com/VinAIResearch/Anti-DreamBooth"/>
    <hyperlink ref="T8" r:id="rId10" display="https://arxiv.org/abs/2303.15433"/>
    <hyperlink ref="U8" r:id="rId11" display="Search"/>
    <hyperlink ref="S9" r:id="rId12" display="https://github.com/chi0tzp/FALCO"/>
    <hyperlink ref="T9" r:id="rId13" display="https://arxiv.org/abs/2303.11296"/>
    <hyperlink ref="U9" r:id="rId14" display="Search"/>
    <hyperlink ref="T10" r:id="rId15" display="https://arxiv.org/abs/2110.05044"/>
    <hyperlink ref="U10" r:id="rId16" display="Search"/>
    <hyperlink ref="T11" r:id="rId17" display="https://arxiv.org/abs/2303.11570"/>
    <hyperlink ref="U11" r:id="rId18" display="Search"/>
    <hyperlink ref="S12" r:id="rId19" display="https://github.com/fahadshamshad/Clip2Protect"/>
    <hyperlink ref="T12" r:id="rId20" display="https://arxiv.org/abs/2306.10008"/>
    <hyperlink ref="U12" r:id="rId21" display="Search"/>
    <hyperlink ref="S13" r:id="rId22" display="https://github.com/vinusankars/Convolution-based-Unlearnability"/>
    <hyperlink ref="T13" r:id="rId23" display="https://arxiv.org/abs/2303.04278"/>
    <hyperlink ref="U13" r:id="rId24" display="Search"/>
    <hyperlink ref="S14" r:id="rId25" display="https://github.com/vikram2000b/bad-teaching-unlearning"/>
    <hyperlink ref="T14" r:id="rId26" display="https://arxiv.org/abs/2205.08096"/>
    <hyperlink ref="U14" r:id="rId27" display="Search"/>
    <hyperlink ref="T15" r:id="rId28" display="https://doi.org/10.1109/TPAMI.2023.3312123"/>
    <hyperlink ref="U15" r:id="rId29" display="Search"/>
    <hyperlink ref="S16" r:id="rId30" display="https://github.com/mk-minchul/dcface"/>
    <hyperlink ref="T16" r:id="rId31" display="https://arxiv.org/abs/2304.07060"/>
    <hyperlink ref="U16" r:id="rId32" display="Search"/>
    <hyperlink ref="S17" r:id="rId33" display="https://github.com/hukkelas/deep_privacy2"/>
    <hyperlink ref="T17" r:id="rId34" display="https://arxiv.org/abs/2211.09454"/>
    <hyperlink ref="U17" r:id="rId35" display="Search"/>
    <hyperlink ref="S18" r:id="rId36" display="https://github.com/nv-tlabs/DP-Diffusion"/>
    <hyperlink ref="T18" r:id="rId37" display="https://arxiv.org/abs/2210.09929"/>
    <hyperlink ref="U18" r:id="rId38" display="Search"/>
    <hyperlink ref="T19" r:id="rId39" display="https://arxiv.org/abs/2302.13861"/>
    <hyperlink ref="U19" r:id="rId40" display="Search"/>
    <hyperlink ref="S20" r:id="rId41" display="https://github.com/microsoft/DigiFace1M"/>
    <hyperlink ref="T20" r:id="rId42" display="https://arxiv.org/abs/2210.02579"/>
    <hyperlink ref="U20" r:id="rId43" display="Search"/>
    <hyperlink ref="T21" r:id="rId44" display="https://openaccess.thecvf.com/content/ICCV2023/html/Wen_Divide_and_Conquer_a_Two-Step_Method_for_High_Quality_Face_ICCV_2023_paper.html"/>
    <hyperlink ref="U21" r:id="rId45" display="Search"/>
    <hyperlink ref="S22" r:id="rId46" display="https://github.com/hukkelas/deep_privacy2"/>
    <hyperlink ref="T22" r:id="rId47" display="https://arxiv.org/abs/2306.05135"/>
    <hyperlink ref="U22" r:id="rId48" display="Search"/>
    <hyperlink ref="S23" r:id="rId49" display="https://github.com/rohitgandikota/erasing"/>
    <hyperlink ref="T23" r:id="rId50" display="https://arxiv.org/abs/2303.07345"/>
    <hyperlink ref="U23" r:id="rId51" display="Search"/>
    <hyperlink ref="S24" r:id="rId52" display="https://github.com/MinChen00/Face-Auditor"/>
    <hyperlink ref="T24" r:id="rId53" display="https://arxiv.org/abs/2304.02782"/>
    <hyperlink ref="U24" r:id="rId54" display="Search"/>
    <hyperlink ref="T25" r:id="rId55" display="https://arxiv.org/abs/2309.04228"/>
    <hyperlink ref="U25" r:id="rId56" display="Search"/>
    <hyperlink ref="T26" r:id="rId57" display="https://proceedings.neurips.cc/paper_files/paper/2023/hash/29e4b51d45dc8f534260adc45b587363-Abstract-Conference.html"/>
    <hyperlink ref="U26" r:id="rId58" display="Search"/>
    <hyperlink ref="T27" r:id="rId59" display="https://arxiv.org/abs/2302.04222"/>
    <hyperlink ref="U27" r:id="rId60" display="Search"/>
    <hyperlink ref="S28" r:id="rId61" display="https://github.com/fdbtrs/IDiff-Face"/>
    <hyperlink ref="T28" r:id="rId62" display="https://arxiv.org/abs/2308.04995"/>
    <hyperlink ref="U28" r:id="rId63" display="Search"/>
    <hyperlink ref="T29" r:id="rId64" display="https://arxiv.org/abs/2310.19248"/>
    <hyperlink ref="U29" r:id="rId65" display="Search"/>
    <hyperlink ref="S30" r:id="rId66" display="https://github.com/liuzrcc/ImageShortcutSqueezing"/>
    <hyperlink ref="T30" r:id="rId67" display="https://arxiv.org/abs/2301.13838"/>
    <hyperlink ref="U30" r:id="rId68" display="Search"/>
    <hyperlink ref="T31" r:id="rId69" display="https://arxiv.org/abs/2302.08931"/>
    <hyperlink ref="U31" r:id="rId70" display="Search"/>
    <hyperlink ref="T32" r:id="rId71" display="https://arxiv.org/abs/2301.02516"/>
    <hyperlink ref="U32" r:id="rId72" display="Search"/>
    <hyperlink ref="T33" r:id="rId73" display="https://arxiv.org/abs/2211.01361"/>
    <hyperlink ref="U33" r:id="rId74" display="Search"/>
    <hyperlink ref="S34" r:id="rId75" display="https://github.com/cychomatica/One-Pixel-Shotcut"/>
    <hyperlink ref="T34" r:id="rId76" display="https://arxiv.org/abs/2205.12141"/>
    <hyperlink ref="U34" r:id="rId77" display="Search"/>
    <hyperlink ref="S35" r:id="rId78" display="https://github.com/Tencent/TFace"/>
    <hyperlink ref="T35" r:id="rId79" display="https://arxiv.org/abs/2308.10461"/>
    <hyperlink ref="U35" r:id="rId80" display="Search"/>
    <hyperlink ref="S36" r:id="rId81" display="https://github.com/MadryLab/photoguard"/>
    <hyperlink ref="T36" r:id="rId82" display="https://arxiv.org/abs/2302.06588"/>
    <hyperlink ref="U36" r:id="rId83" display="Search"/>
    <hyperlink ref="S37" r:id="rId84" display="https://github.com/DongzeLi-CASIA/RiDDLE"/>
    <hyperlink ref="T37" r:id="rId85" display="https://arxiv.org/abs/2303.05171"/>
    <hyperlink ref="U37" r:id="rId86" display="Search"/>
    <hyperlink ref="S38" r:id="rId87" display="https://github.com/clear-nus/selective-amnesia"/>
    <hyperlink ref="T38" r:id="rId88" display="https://arxiv.org/abs/2305.10120"/>
    <hyperlink ref="U38" r:id="rId89" display="Search"/>
    <hyperlink ref="T39" r:id="rId90" display="https://arxiv.org/abs/2112.04558"/>
    <hyperlink ref="U39" r:id="rId91" display="Search"/>
    <hyperlink ref="T40" r:id="rId92" display="https://arxiv.org/abs/2305.01021"/>
    <hyperlink ref="U40" r:id="rId93" display="Search"/>
    <hyperlink ref="S41" r:id="rId94" display="https://github.com/meghdadk/SCRUB"/>
    <hyperlink ref="T41" r:id="rId95" display="https://arxiv.org/abs/2302.09880"/>
    <hyperlink ref="U41" r:id="rId96" display="Search"/>
    <hyperlink ref="T42" r:id="rId97" display="https://arxiv.org/abs/2210.10114"/>
    <hyperlink ref="U42" r:id="rId98" display="Search"/>
    <hyperlink ref="S43" r:id="rId99" display="https://github.com/jiamingzhang94/Unlearnable-Clusters"/>
    <hyperlink ref="T43" r:id="rId100" display="https://arxiv.org/abs/2301.01217"/>
    <hyperlink ref="U43" r:id="rId101" display="Search"/>
    <hyperlink ref="T44" r:id="rId102" display="https://www.penguinrandomhouse.com/books/705578/your-face-belongs-to-us-by-kashmir-hill/"/>
    <hyperlink ref="U44" r:id="rId103" display="Search"/>
    <hyperlink ref="T45" r:id="rId104" display="https://arxiv.org/abs/2201.05629"/>
    <hyperlink ref="U45" r:id="rId105"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2688</v>
      </c>
    </row>
    <row r="2" customFormat="false" ht="15" hidden="false" customHeight="false" outlineLevel="0" collapsed="false">
      <c r="A2" s="14" t="s">
        <v>2705</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347</v>
      </c>
      <c r="C5" s="17" t="s">
        <v>348</v>
      </c>
      <c r="D5" s="17" t="s">
        <v>349</v>
      </c>
      <c r="E5" s="16" t="n">
        <v>2024</v>
      </c>
      <c r="F5" s="17" t="s">
        <v>350</v>
      </c>
      <c r="G5" s="16" t="s">
        <v>199</v>
      </c>
      <c r="H5" s="23" t="s">
        <v>19</v>
      </c>
      <c r="I5" s="17" t="s">
        <v>328</v>
      </c>
      <c r="J5" s="17" t="s">
        <v>351</v>
      </c>
      <c r="K5" s="17" t="s">
        <v>352</v>
      </c>
      <c r="L5" s="17" t="s">
        <v>353</v>
      </c>
      <c r="M5" s="17" t="s">
        <v>354</v>
      </c>
      <c r="N5" s="17" t="s">
        <v>355</v>
      </c>
      <c r="O5" s="17" t="s">
        <v>356</v>
      </c>
      <c r="P5" s="17" t="s">
        <v>357</v>
      </c>
      <c r="Q5" s="17" t="s">
        <v>358</v>
      </c>
      <c r="R5" s="16" t="s">
        <v>103</v>
      </c>
      <c r="S5" s="19" t="s">
        <v>359</v>
      </c>
      <c r="T5" s="19" t="s">
        <v>360</v>
      </c>
      <c r="U5" s="19" t="s">
        <v>67</v>
      </c>
    </row>
    <row r="6" customFormat="false" ht="96" hidden="false" customHeight="true" outlineLevel="0" collapsed="false">
      <c r="A6" s="16" t="n">
        <v>2</v>
      </c>
      <c r="B6" s="16" t="s">
        <v>361</v>
      </c>
      <c r="C6" s="17" t="s">
        <v>362</v>
      </c>
      <c r="D6" s="17" t="s">
        <v>363</v>
      </c>
      <c r="E6" s="16" t="n">
        <v>2024</v>
      </c>
      <c r="F6" s="17" t="s">
        <v>209</v>
      </c>
      <c r="G6" s="16" t="s">
        <v>199</v>
      </c>
      <c r="H6" s="18" t="s">
        <v>23</v>
      </c>
      <c r="I6" s="17" t="s">
        <v>23</v>
      </c>
      <c r="J6" s="17" t="s">
        <v>364</v>
      </c>
      <c r="K6" s="17" t="s">
        <v>365</v>
      </c>
      <c r="L6" s="17" t="s">
        <v>366</v>
      </c>
      <c r="M6" s="17" t="s">
        <v>367</v>
      </c>
      <c r="N6" s="17" t="s">
        <v>368</v>
      </c>
      <c r="O6" s="17" t="s">
        <v>76</v>
      </c>
      <c r="P6" s="17" t="s">
        <v>369</v>
      </c>
      <c r="Q6" s="17" t="s">
        <v>370</v>
      </c>
      <c r="R6" s="16" t="s">
        <v>103</v>
      </c>
      <c r="S6" s="19" t="s">
        <v>371</v>
      </c>
      <c r="T6" s="19" t="s">
        <v>372</v>
      </c>
      <c r="U6" s="19" t="s">
        <v>67</v>
      </c>
    </row>
    <row r="7" customFormat="false" ht="96" hidden="false" customHeight="true" outlineLevel="0" collapsed="false">
      <c r="A7" s="16" t="n">
        <v>3</v>
      </c>
      <c r="B7" s="16" t="s">
        <v>373</v>
      </c>
      <c r="C7" s="17" t="s">
        <v>374</v>
      </c>
      <c r="D7" s="17" t="s">
        <v>375</v>
      </c>
      <c r="E7" s="16" t="n">
        <v>2024</v>
      </c>
      <c r="F7" s="17" t="s">
        <v>209</v>
      </c>
      <c r="G7" s="16" t="s">
        <v>199</v>
      </c>
      <c r="H7" s="21" t="s">
        <v>11</v>
      </c>
      <c r="I7" s="17" t="s">
        <v>125</v>
      </c>
      <c r="J7" s="17" t="s">
        <v>376</v>
      </c>
      <c r="K7" s="17" t="s">
        <v>377</v>
      </c>
      <c r="L7" s="17" t="s">
        <v>378</v>
      </c>
      <c r="M7" s="17" t="s">
        <v>379</v>
      </c>
      <c r="N7" s="17" t="s">
        <v>130</v>
      </c>
      <c r="O7" s="17" t="s">
        <v>380</v>
      </c>
      <c r="P7" s="17" t="s">
        <v>381</v>
      </c>
      <c r="Q7" s="17" t="s">
        <v>382</v>
      </c>
      <c r="R7" s="16" t="s">
        <v>103</v>
      </c>
      <c r="S7" s="19" t="s">
        <v>383</v>
      </c>
      <c r="T7" s="19" t="s">
        <v>384</v>
      </c>
      <c r="U7" s="19" t="s">
        <v>67</v>
      </c>
    </row>
    <row r="8" customFormat="false" ht="96" hidden="false" customHeight="true" outlineLevel="0" collapsed="false">
      <c r="A8" s="16" t="n">
        <v>4</v>
      </c>
      <c r="B8" s="16" t="s">
        <v>385</v>
      </c>
      <c r="C8" s="17" t="s">
        <v>386</v>
      </c>
      <c r="D8" s="17" t="s">
        <v>387</v>
      </c>
      <c r="E8" s="16" t="n">
        <v>2024</v>
      </c>
      <c r="F8" s="17" t="s">
        <v>388</v>
      </c>
      <c r="G8" s="16" t="s">
        <v>148</v>
      </c>
      <c r="H8" s="22" t="s">
        <v>9</v>
      </c>
      <c r="I8" s="17" t="s">
        <v>223</v>
      </c>
      <c r="J8" s="17" t="s">
        <v>389</v>
      </c>
      <c r="K8" s="17" t="s">
        <v>390</v>
      </c>
      <c r="L8" s="17" t="s">
        <v>391</v>
      </c>
      <c r="M8" s="17" t="s">
        <v>392</v>
      </c>
      <c r="N8" s="17" t="s">
        <v>393</v>
      </c>
      <c r="O8" s="17" t="s">
        <v>394</v>
      </c>
      <c r="P8" s="17" t="s">
        <v>395</v>
      </c>
      <c r="Q8" s="17" t="s">
        <v>396</v>
      </c>
      <c r="R8" s="16" t="s">
        <v>65</v>
      </c>
      <c r="S8" s="16"/>
      <c r="T8" s="19" t="s">
        <v>397</v>
      </c>
      <c r="U8" s="19" t="s">
        <v>67</v>
      </c>
    </row>
    <row r="9" customFormat="false" ht="96" hidden="false" customHeight="true" outlineLevel="0" collapsed="false">
      <c r="A9" s="16" t="n">
        <v>5</v>
      </c>
      <c r="B9" s="16" t="s">
        <v>398</v>
      </c>
      <c r="C9" s="17" t="s">
        <v>399</v>
      </c>
      <c r="D9" s="17" t="s">
        <v>400</v>
      </c>
      <c r="E9" s="16" t="n">
        <v>2024</v>
      </c>
      <c r="F9" s="17" t="s">
        <v>71</v>
      </c>
      <c r="G9" s="16" t="s">
        <v>56</v>
      </c>
      <c r="H9" s="21" t="s">
        <v>13</v>
      </c>
      <c r="I9" s="17" t="s">
        <v>125</v>
      </c>
      <c r="J9" s="17" t="s">
        <v>126</v>
      </c>
      <c r="K9" s="17" t="s">
        <v>401</v>
      </c>
      <c r="L9" s="17" t="s">
        <v>402</v>
      </c>
      <c r="M9" s="17" t="s">
        <v>403</v>
      </c>
      <c r="N9" s="17" t="s">
        <v>404</v>
      </c>
      <c r="O9" s="17" t="s">
        <v>262</v>
      </c>
      <c r="P9" s="17" t="s">
        <v>405</v>
      </c>
      <c r="Q9" s="17" t="s">
        <v>406</v>
      </c>
      <c r="R9" s="16" t="s">
        <v>65</v>
      </c>
      <c r="S9" s="16"/>
      <c r="T9" s="19" t="s">
        <v>407</v>
      </c>
      <c r="U9" s="19" t="s">
        <v>67</v>
      </c>
    </row>
    <row r="10" customFormat="false" ht="96" hidden="false" customHeight="true" outlineLevel="0" collapsed="false">
      <c r="A10" s="16" t="n">
        <v>6</v>
      </c>
      <c r="B10" s="16" t="s">
        <v>408</v>
      </c>
      <c r="C10" s="17" t="s">
        <v>409</v>
      </c>
      <c r="D10" s="17" t="s">
        <v>410</v>
      </c>
      <c r="E10" s="16" t="n">
        <v>2024</v>
      </c>
      <c r="F10" s="17" t="s">
        <v>411</v>
      </c>
      <c r="G10" s="16" t="s">
        <v>199</v>
      </c>
      <c r="H10" s="23" t="s">
        <v>19</v>
      </c>
      <c r="I10" s="17" t="s">
        <v>328</v>
      </c>
      <c r="J10" s="17" t="s">
        <v>412</v>
      </c>
      <c r="K10" s="17" t="s">
        <v>413</v>
      </c>
      <c r="L10" s="17" t="s">
        <v>414</v>
      </c>
      <c r="M10" s="17" t="s">
        <v>415</v>
      </c>
      <c r="N10" s="17" t="s">
        <v>416</v>
      </c>
      <c r="O10" s="17" t="s">
        <v>334</v>
      </c>
      <c r="P10" s="17" t="s">
        <v>417</v>
      </c>
      <c r="Q10" s="17" t="s">
        <v>418</v>
      </c>
      <c r="R10" s="16" t="s">
        <v>65</v>
      </c>
      <c r="S10" s="16"/>
      <c r="T10" s="19" t="s">
        <v>419</v>
      </c>
      <c r="U10" s="19" t="s">
        <v>67</v>
      </c>
    </row>
    <row r="11" customFormat="false" ht="96" hidden="false" customHeight="true" outlineLevel="0" collapsed="false">
      <c r="A11" s="16" t="n">
        <v>7</v>
      </c>
      <c r="B11" s="16" t="s">
        <v>420</v>
      </c>
      <c r="C11" s="17" t="s">
        <v>421</v>
      </c>
      <c r="D11" s="17" t="s">
        <v>422</v>
      </c>
      <c r="E11" s="16" t="n">
        <v>2024</v>
      </c>
      <c r="F11" s="17" t="s">
        <v>423</v>
      </c>
      <c r="G11" s="16" t="s">
        <v>56</v>
      </c>
      <c r="H11" s="20" t="s">
        <v>25</v>
      </c>
      <c r="I11" s="17" t="s">
        <v>72</v>
      </c>
      <c r="J11" s="17" t="s">
        <v>424</v>
      </c>
      <c r="K11" s="17" t="s">
        <v>425</v>
      </c>
      <c r="L11" s="17" t="s">
        <v>426</v>
      </c>
      <c r="M11" s="17" t="s">
        <v>427</v>
      </c>
      <c r="N11" s="17" t="s">
        <v>76</v>
      </c>
      <c r="O11" s="17" t="s">
        <v>76</v>
      </c>
      <c r="P11" s="17" t="s">
        <v>428</v>
      </c>
      <c r="Q11" s="17" t="s">
        <v>429</v>
      </c>
      <c r="R11" s="16" t="s">
        <v>65</v>
      </c>
      <c r="S11" s="16"/>
      <c r="T11" s="19" t="s">
        <v>430</v>
      </c>
      <c r="U11" s="19" t="s">
        <v>67</v>
      </c>
    </row>
    <row r="12" customFormat="false" ht="96" hidden="false" customHeight="true" outlineLevel="0" collapsed="false">
      <c r="A12" s="16" t="n">
        <v>8</v>
      </c>
      <c r="B12" s="16" t="s">
        <v>431</v>
      </c>
      <c r="C12" s="17" t="s">
        <v>432</v>
      </c>
      <c r="D12" s="17" t="s">
        <v>433</v>
      </c>
      <c r="E12" s="16" t="n">
        <v>2024</v>
      </c>
      <c r="F12" s="17" t="s">
        <v>209</v>
      </c>
      <c r="G12" s="16" t="s">
        <v>199</v>
      </c>
      <c r="H12" s="22" t="s">
        <v>9</v>
      </c>
      <c r="I12" s="17" t="s">
        <v>223</v>
      </c>
      <c r="J12" s="17" t="s">
        <v>224</v>
      </c>
      <c r="K12" s="17" t="s">
        <v>434</v>
      </c>
      <c r="L12" s="17" t="s">
        <v>435</v>
      </c>
      <c r="M12" s="17" t="s">
        <v>436</v>
      </c>
      <c r="N12" s="17" t="s">
        <v>437</v>
      </c>
      <c r="O12" s="17" t="s">
        <v>438</v>
      </c>
      <c r="P12" s="17" t="s">
        <v>439</v>
      </c>
      <c r="Q12" s="17" t="s">
        <v>440</v>
      </c>
      <c r="R12" s="16" t="s">
        <v>65</v>
      </c>
      <c r="S12" s="16"/>
      <c r="T12" s="19" t="s">
        <v>441</v>
      </c>
      <c r="U12" s="19" t="s">
        <v>67</v>
      </c>
    </row>
    <row r="13" customFormat="false" ht="96" hidden="false" customHeight="true" outlineLevel="0" collapsed="false">
      <c r="A13" s="16" t="n">
        <v>9</v>
      </c>
      <c r="B13" s="16" t="s">
        <v>442</v>
      </c>
      <c r="C13" s="17" t="s">
        <v>443</v>
      </c>
      <c r="D13" s="17" t="s">
        <v>444</v>
      </c>
      <c r="E13" s="16" t="n">
        <v>2024</v>
      </c>
      <c r="F13" s="17" t="s">
        <v>445</v>
      </c>
      <c r="G13" s="16" t="s">
        <v>446</v>
      </c>
      <c r="H13" s="18" t="s">
        <v>23</v>
      </c>
      <c r="I13" s="17" t="s">
        <v>23</v>
      </c>
      <c r="J13" s="17" t="s">
        <v>447</v>
      </c>
      <c r="K13" s="17" t="s">
        <v>448</v>
      </c>
      <c r="L13" s="17" t="s">
        <v>449</v>
      </c>
      <c r="M13" s="17" t="s">
        <v>450</v>
      </c>
      <c r="N13" s="17" t="s">
        <v>451</v>
      </c>
      <c r="O13" s="17" t="s">
        <v>76</v>
      </c>
      <c r="P13" s="17" t="s">
        <v>452</v>
      </c>
      <c r="Q13" s="17" t="s">
        <v>453</v>
      </c>
      <c r="R13" s="16" t="s">
        <v>65</v>
      </c>
      <c r="S13" s="16"/>
      <c r="T13" s="19" t="s">
        <v>454</v>
      </c>
      <c r="U13" s="19" t="s">
        <v>67</v>
      </c>
    </row>
    <row r="14" customFormat="false" ht="96" hidden="false" customHeight="true" outlineLevel="0" collapsed="false">
      <c r="A14" s="16" t="n">
        <v>10</v>
      </c>
      <c r="B14" s="16" t="s">
        <v>455</v>
      </c>
      <c r="C14" s="17" t="s">
        <v>456</v>
      </c>
      <c r="D14" s="17" t="s">
        <v>457</v>
      </c>
      <c r="E14" s="16" t="n">
        <v>2024</v>
      </c>
      <c r="F14" s="17" t="s">
        <v>237</v>
      </c>
      <c r="G14" s="16" t="s">
        <v>199</v>
      </c>
      <c r="H14" s="23" t="s">
        <v>21</v>
      </c>
      <c r="I14" s="17" t="s">
        <v>328</v>
      </c>
      <c r="J14" s="17" t="s">
        <v>458</v>
      </c>
      <c r="K14" s="17" t="s">
        <v>459</v>
      </c>
      <c r="L14" s="17" t="s">
        <v>460</v>
      </c>
      <c r="M14" s="17" t="s">
        <v>461</v>
      </c>
      <c r="N14" s="17" t="s">
        <v>462</v>
      </c>
      <c r="O14" s="17" t="s">
        <v>463</v>
      </c>
      <c r="P14" s="17" t="s">
        <v>464</v>
      </c>
      <c r="Q14" s="17" t="s">
        <v>465</v>
      </c>
      <c r="R14" s="16" t="s">
        <v>103</v>
      </c>
      <c r="S14" s="19" t="s">
        <v>466</v>
      </c>
      <c r="T14" s="19" t="s">
        <v>467</v>
      </c>
      <c r="U14" s="19" t="s">
        <v>67</v>
      </c>
    </row>
    <row r="15" customFormat="false" ht="96" hidden="false" customHeight="true" outlineLevel="0" collapsed="false">
      <c r="A15" s="16" t="n">
        <v>11</v>
      </c>
      <c r="B15" s="16" t="s">
        <v>468</v>
      </c>
      <c r="C15" s="17" t="s">
        <v>469</v>
      </c>
      <c r="D15" s="17" t="s">
        <v>470</v>
      </c>
      <c r="E15" s="16" t="n">
        <v>2024</v>
      </c>
      <c r="F15" s="17" t="s">
        <v>83</v>
      </c>
      <c r="G15" s="16" t="s">
        <v>84</v>
      </c>
      <c r="H15" s="22" t="s">
        <v>9</v>
      </c>
      <c r="I15" s="17" t="s">
        <v>223</v>
      </c>
      <c r="J15" s="17" t="s">
        <v>97</v>
      </c>
      <c r="K15" s="17" t="s">
        <v>471</v>
      </c>
      <c r="L15" s="17" t="s">
        <v>472</v>
      </c>
      <c r="M15" s="17" t="s">
        <v>473</v>
      </c>
      <c r="N15" s="17" t="s">
        <v>474</v>
      </c>
      <c r="O15" s="17" t="s">
        <v>475</v>
      </c>
      <c r="P15" s="17" t="s">
        <v>476</v>
      </c>
      <c r="Q15" s="17" t="s">
        <v>477</v>
      </c>
      <c r="R15" s="16" t="s">
        <v>103</v>
      </c>
      <c r="S15" s="19" t="s">
        <v>478</v>
      </c>
      <c r="T15" s="19" t="s">
        <v>479</v>
      </c>
      <c r="U15" s="19" t="s">
        <v>67</v>
      </c>
    </row>
    <row r="16" customFormat="false" ht="96" hidden="false" customHeight="true" outlineLevel="0" collapsed="false">
      <c r="A16" s="16" t="n">
        <v>12</v>
      </c>
      <c r="B16" s="16" t="s">
        <v>480</v>
      </c>
      <c r="C16" s="17" t="s">
        <v>481</v>
      </c>
      <c r="D16" s="17" t="s">
        <v>482</v>
      </c>
      <c r="E16" s="16" t="n">
        <v>2024</v>
      </c>
      <c r="F16" s="17" t="s">
        <v>483</v>
      </c>
      <c r="G16" s="16" t="s">
        <v>84</v>
      </c>
      <c r="H16" s="22" t="s">
        <v>9</v>
      </c>
      <c r="I16" s="17" t="s">
        <v>223</v>
      </c>
      <c r="J16" s="17" t="s">
        <v>484</v>
      </c>
      <c r="K16" s="17" t="s">
        <v>485</v>
      </c>
      <c r="L16" s="17" t="s">
        <v>486</v>
      </c>
      <c r="M16" s="17" t="s">
        <v>487</v>
      </c>
      <c r="N16" s="17" t="s">
        <v>488</v>
      </c>
      <c r="O16" s="17" t="s">
        <v>489</v>
      </c>
      <c r="P16" s="17" t="s">
        <v>490</v>
      </c>
      <c r="Q16" s="17" t="s">
        <v>491</v>
      </c>
      <c r="R16" s="16" t="s">
        <v>103</v>
      </c>
      <c r="S16" s="19" t="s">
        <v>492</v>
      </c>
      <c r="T16" s="19" t="s">
        <v>493</v>
      </c>
      <c r="U16" s="19" t="s">
        <v>67</v>
      </c>
    </row>
    <row r="17" customFormat="false" ht="96" hidden="false" customHeight="true" outlineLevel="0" collapsed="false">
      <c r="A17" s="16" t="n">
        <v>13</v>
      </c>
      <c r="B17" s="16" t="s">
        <v>494</v>
      </c>
      <c r="C17" s="17" t="s">
        <v>495</v>
      </c>
      <c r="D17" s="17" t="s">
        <v>496</v>
      </c>
      <c r="E17" s="16" t="n">
        <v>2024</v>
      </c>
      <c r="F17" s="17" t="s">
        <v>209</v>
      </c>
      <c r="G17" s="16" t="s">
        <v>199</v>
      </c>
      <c r="H17" s="23" t="s">
        <v>21</v>
      </c>
      <c r="I17" s="17" t="s">
        <v>328</v>
      </c>
      <c r="J17" s="17" t="s">
        <v>224</v>
      </c>
      <c r="K17" s="17" t="s">
        <v>497</v>
      </c>
      <c r="L17" s="17" t="s">
        <v>498</v>
      </c>
      <c r="M17" s="17" t="s">
        <v>499</v>
      </c>
      <c r="N17" s="17" t="s">
        <v>500</v>
      </c>
      <c r="O17" s="17" t="s">
        <v>501</v>
      </c>
      <c r="P17" s="17" t="s">
        <v>502</v>
      </c>
      <c r="Q17" s="17" t="s">
        <v>503</v>
      </c>
      <c r="R17" s="16" t="s">
        <v>103</v>
      </c>
      <c r="S17" s="19" t="s">
        <v>504</v>
      </c>
      <c r="T17" s="19" t="s">
        <v>505</v>
      </c>
      <c r="U17" s="19" t="s">
        <v>67</v>
      </c>
    </row>
    <row r="18" customFormat="false" ht="96" hidden="false" customHeight="true" outlineLevel="0" collapsed="false">
      <c r="A18" s="16" t="n">
        <v>14</v>
      </c>
      <c r="B18" s="16" t="s">
        <v>506</v>
      </c>
      <c r="C18" s="17" t="s">
        <v>507</v>
      </c>
      <c r="D18" s="17" t="s">
        <v>508</v>
      </c>
      <c r="E18" s="16" t="n">
        <v>2024</v>
      </c>
      <c r="F18" s="17" t="s">
        <v>71</v>
      </c>
      <c r="G18" s="16" t="s">
        <v>56</v>
      </c>
      <c r="H18" s="23" t="s">
        <v>21</v>
      </c>
      <c r="I18" s="17" t="s">
        <v>328</v>
      </c>
      <c r="J18" s="17" t="s">
        <v>509</v>
      </c>
      <c r="K18" s="17" t="s">
        <v>510</v>
      </c>
      <c r="L18" s="17" t="s">
        <v>511</v>
      </c>
      <c r="M18" s="17" t="s">
        <v>512</v>
      </c>
      <c r="N18" s="17" t="s">
        <v>513</v>
      </c>
      <c r="O18" s="17" t="s">
        <v>76</v>
      </c>
      <c r="P18" s="17" t="s">
        <v>514</v>
      </c>
      <c r="Q18" s="17" t="s">
        <v>515</v>
      </c>
      <c r="R18" s="16" t="s">
        <v>65</v>
      </c>
      <c r="S18" s="16"/>
      <c r="T18" s="19" t="s">
        <v>516</v>
      </c>
      <c r="U18" s="19" t="s">
        <v>67</v>
      </c>
    </row>
    <row r="19" customFormat="false" ht="96" hidden="false" customHeight="true" outlineLevel="0" collapsed="false">
      <c r="A19" s="16" t="n">
        <v>15</v>
      </c>
      <c r="B19" s="16" t="s">
        <v>517</v>
      </c>
      <c r="C19" s="17" t="s">
        <v>518</v>
      </c>
      <c r="D19" s="17" t="s">
        <v>519</v>
      </c>
      <c r="E19" s="16" t="n">
        <v>2024</v>
      </c>
      <c r="F19" s="17" t="s">
        <v>71</v>
      </c>
      <c r="G19" s="16" t="s">
        <v>56</v>
      </c>
      <c r="H19" s="22" t="s">
        <v>9</v>
      </c>
      <c r="I19" s="17" t="s">
        <v>223</v>
      </c>
      <c r="J19" s="17" t="s">
        <v>224</v>
      </c>
      <c r="K19" s="17" t="s">
        <v>520</v>
      </c>
      <c r="L19" s="17" t="s">
        <v>521</v>
      </c>
      <c r="M19" s="17" t="s">
        <v>522</v>
      </c>
      <c r="N19" s="17" t="s">
        <v>523</v>
      </c>
      <c r="O19" s="17" t="s">
        <v>524</v>
      </c>
      <c r="P19" s="17" t="s">
        <v>525</v>
      </c>
      <c r="Q19" s="17" t="s">
        <v>526</v>
      </c>
      <c r="R19" s="16" t="s">
        <v>65</v>
      </c>
      <c r="S19" s="16"/>
      <c r="T19" s="19" t="s">
        <v>527</v>
      </c>
      <c r="U19" s="19" t="s">
        <v>67</v>
      </c>
    </row>
    <row r="20" customFormat="false" ht="96" hidden="false" customHeight="true" outlineLevel="0" collapsed="false">
      <c r="A20" s="16" t="n">
        <v>16</v>
      </c>
      <c r="B20" s="16" t="s">
        <v>528</v>
      </c>
      <c r="C20" s="17" t="s">
        <v>529</v>
      </c>
      <c r="D20" s="17" t="s">
        <v>530</v>
      </c>
      <c r="E20" s="16" t="n">
        <v>2024</v>
      </c>
      <c r="F20" s="17" t="s">
        <v>198</v>
      </c>
      <c r="G20" s="16" t="s">
        <v>199</v>
      </c>
      <c r="H20" s="22" t="s">
        <v>9</v>
      </c>
      <c r="I20" s="17" t="s">
        <v>223</v>
      </c>
      <c r="J20" s="17" t="s">
        <v>279</v>
      </c>
      <c r="K20" s="17" t="s">
        <v>531</v>
      </c>
      <c r="L20" s="17" t="s">
        <v>532</v>
      </c>
      <c r="M20" s="17" t="s">
        <v>533</v>
      </c>
      <c r="N20" s="17" t="s">
        <v>534</v>
      </c>
      <c r="O20" s="17" t="s">
        <v>535</v>
      </c>
      <c r="P20" s="17" t="s">
        <v>536</v>
      </c>
      <c r="Q20" s="17" t="s">
        <v>537</v>
      </c>
      <c r="R20" s="16" t="s">
        <v>103</v>
      </c>
      <c r="S20" s="19" t="s">
        <v>538</v>
      </c>
      <c r="T20" s="19" t="s">
        <v>539</v>
      </c>
      <c r="U20" s="19" t="s">
        <v>67</v>
      </c>
    </row>
    <row r="21" customFormat="false" ht="96" hidden="false" customHeight="true" outlineLevel="0" collapsed="false">
      <c r="A21" s="16" t="n">
        <v>17</v>
      </c>
      <c r="B21" s="16" t="s">
        <v>540</v>
      </c>
      <c r="C21" s="17" t="s">
        <v>541</v>
      </c>
      <c r="D21" s="17" t="s">
        <v>542</v>
      </c>
      <c r="E21" s="16" t="n">
        <v>2024</v>
      </c>
      <c r="F21" s="17" t="s">
        <v>543</v>
      </c>
      <c r="G21" s="16" t="s">
        <v>199</v>
      </c>
      <c r="H21" s="21" t="s">
        <v>13</v>
      </c>
      <c r="I21" s="17" t="s">
        <v>125</v>
      </c>
      <c r="J21" s="17" t="s">
        <v>544</v>
      </c>
      <c r="K21" s="17" t="s">
        <v>545</v>
      </c>
      <c r="L21" s="17" t="s">
        <v>546</v>
      </c>
      <c r="M21" s="17" t="s">
        <v>547</v>
      </c>
      <c r="N21" s="17" t="s">
        <v>548</v>
      </c>
      <c r="O21" s="17" t="s">
        <v>549</v>
      </c>
      <c r="P21" s="17" t="s">
        <v>550</v>
      </c>
      <c r="Q21" s="17" t="s">
        <v>551</v>
      </c>
      <c r="R21" s="16" t="s">
        <v>103</v>
      </c>
      <c r="S21" s="19" t="s">
        <v>552</v>
      </c>
      <c r="T21" s="19" t="s">
        <v>553</v>
      </c>
      <c r="U21" s="19" t="s">
        <v>67</v>
      </c>
    </row>
    <row r="22" customFormat="false" ht="96" hidden="false" customHeight="true" outlineLevel="0" collapsed="false">
      <c r="A22" s="16" t="n">
        <v>18</v>
      </c>
      <c r="B22" s="16" t="s">
        <v>554</v>
      </c>
      <c r="C22" s="17" t="s">
        <v>555</v>
      </c>
      <c r="D22" s="17" t="s">
        <v>556</v>
      </c>
      <c r="E22" s="16" t="n">
        <v>2024</v>
      </c>
      <c r="F22" s="17" t="s">
        <v>557</v>
      </c>
      <c r="G22" s="16" t="s">
        <v>446</v>
      </c>
      <c r="H22" s="21" t="s">
        <v>13</v>
      </c>
      <c r="I22" s="17" t="s">
        <v>125</v>
      </c>
      <c r="J22" s="17" t="s">
        <v>558</v>
      </c>
      <c r="K22" s="17" t="s">
        <v>559</v>
      </c>
      <c r="L22" s="17" t="s">
        <v>560</v>
      </c>
      <c r="M22" s="17" t="s">
        <v>561</v>
      </c>
      <c r="N22" s="17" t="s">
        <v>562</v>
      </c>
      <c r="O22" s="17" t="s">
        <v>563</v>
      </c>
      <c r="P22" s="17" t="s">
        <v>564</v>
      </c>
      <c r="Q22" s="17" t="s">
        <v>565</v>
      </c>
      <c r="R22" s="16" t="s">
        <v>65</v>
      </c>
      <c r="S22" s="16"/>
      <c r="T22" s="19" t="s">
        <v>566</v>
      </c>
      <c r="U22" s="19" t="s">
        <v>67</v>
      </c>
    </row>
    <row r="23" customFormat="false" ht="96" hidden="false" customHeight="true" outlineLevel="0" collapsed="false">
      <c r="A23" s="16" t="n">
        <v>19</v>
      </c>
      <c r="B23" s="16" t="s">
        <v>567</v>
      </c>
      <c r="C23" s="17" t="s">
        <v>568</v>
      </c>
      <c r="D23" s="17" t="s">
        <v>569</v>
      </c>
      <c r="E23" s="16" t="n">
        <v>2024</v>
      </c>
      <c r="F23" s="17" t="s">
        <v>350</v>
      </c>
      <c r="G23" s="16" t="s">
        <v>199</v>
      </c>
      <c r="H23" s="21" t="s">
        <v>11</v>
      </c>
      <c r="I23" s="17" t="s">
        <v>125</v>
      </c>
      <c r="J23" s="17" t="s">
        <v>279</v>
      </c>
      <c r="K23" s="17" t="s">
        <v>570</v>
      </c>
      <c r="L23" s="17" t="s">
        <v>571</v>
      </c>
      <c r="M23" s="17" t="s">
        <v>572</v>
      </c>
      <c r="N23" s="17" t="s">
        <v>573</v>
      </c>
      <c r="O23" s="17" t="s">
        <v>574</v>
      </c>
      <c r="P23" s="17" t="s">
        <v>575</v>
      </c>
      <c r="Q23" s="17" t="s">
        <v>576</v>
      </c>
      <c r="R23" s="16" t="s">
        <v>65</v>
      </c>
      <c r="S23" s="16"/>
      <c r="T23" s="19" t="s">
        <v>577</v>
      </c>
      <c r="U23" s="19" t="s">
        <v>67</v>
      </c>
    </row>
    <row r="24" customFormat="false" ht="96" hidden="false" customHeight="true" outlineLevel="0" collapsed="false">
      <c r="A24" s="16" t="n">
        <v>20</v>
      </c>
      <c r="B24" s="16" t="s">
        <v>578</v>
      </c>
      <c r="C24" s="17" t="s">
        <v>579</v>
      </c>
      <c r="D24" s="17" t="s">
        <v>580</v>
      </c>
      <c r="E24" s="16" t="n">
        <v>2024</v>
      </c>
      <c r="F24" s="17" t="s">
        <v>209</v>
      </c>
      <c r="G24" s="16" t="s">
        <v>199</v>
      </c>
      <c r="H24" s="21" t="s">
        <v>13</v>
      </c>
      <c r="I24" s="17" t="s">
        <v>125</v>
      </c>
      <c r="J24" s="17" t="s">
        <v>544</v>
      </c>
      <c r="K24" s="17" t="s">
        <v>581</v>
      </c>
      <c r="L24" s="17" t="s">
        <v>582</v>
      </c>
      <c r="M24" s="17" t="s">
        <v>583</v>
      </c>
      <c r="N24" s="17" t="s">
        <v>584</v>
      </c>
      <c r="O24" s="17" t="s">
        <v>585</v>
      </c>
      <c r="P24" s="17" t="s">
        <v>586</v>
      </c>
      <c r="Q24" s="17" t="s">
        <v>587</v>
      </c>
      <c r="R24" s="16" t="s">
        <v>65</v>
      </c>
      <c r="S24" s="16"/>
      <c r="T24" s="19" t="s">
        <v>588</v>
      </c>
      <c r="U24" s="19" t="s">
        <v>67</v>
      </c>
    </row>
    <row r="25" customFormat="false" ht="96" hidden="false" customHeight="true" outlineLevel="0" collapsed="false">
      <c r="A25" s="16" t="n">
        <v>21</v>
      </c>
      <c r="B25" s="16" t="s">
        <v>589</v>
      </c>
      <c r="C25" s="17" t="s">
        <v>590</v>
      </c>
      <c r="D25" s="17" t="s">
        <v>591</v>
      </c>
      <c r="E25" s="16" t="n">
        <v>2024</v>
      </c>
      <c r="F25" s="17" t="s">
        <v>209</v>
      </c>
      <c r="G25" s="16" t="s">
        <v>199</v>
      </c>
      <c r="H25" s="24" t="s">
        <v>15</v>
      </c>
      <c r="I25" s="17" t="s">
        <v>592</v>
      </c>
      <c r="J25" s="17" t="s">
        <v>593</v>
      </c>
      <c r="K25" s="17" t="s">
        <v>594</v>
      </c>
      <c r="L25" s="17" t="s">
        <v>595</v>
      </c>
      <c r="M25" s="17" t="s">
        <v>596</v>
      </c>
      <c r="N25" s="17" t="s">
        <v>597</v>
      </c>
      <c r="O25" s="17" t="s">
        <v>334</v>
      </c>
      <c r="P25" s="17" t="s">
        <v>598</v>
      </c>
      <c r="Q25" s="17" t="s">
        <v>599</v>
      </c>
      <c r="R25" s="16" t="s">
        <v>103</v>
      </c>
      <c r="S25" s="19" t="s">
        <v>600</v>
      </c>
      <c r="T25" s="19" t="s">
        <v>601</v>
      </c>
      <c r="U25" s="19" t="s">
        <v>67</v>
      </c>
    </row>
    <row r="26" customFormat="false" ht="96" hidden="false" customHeight="true" outlineLevel="0" collapsed="false">
      <c r="A26" s="16" t="n">
        <v>22</v>
      </c>
      <c r="B26" s="16" t="s">
        <v>602</v>
      </c>
      <c r="C26" s="17" t="s">
        <v>603</v>
      </c>
      <c r="D26" s="17" t="s">
        <v>604</v>
      </c>
      <c r="E26" s="16" t="n">
        <v>2024</v>
      </c>
      <c r="F26" s="17" t="s">
        <v>605</v>
      </c>
      <c r="G26" s="16" t="s">
        <v>148</v>
      </c>
      <c r="H26" s="23" t="s">
        <v>21</v>
      </c>
      <c r="I26" s="17" t="s">
        <v>328</v>
      </c>
      <c r="J26" s="17" t="s">
        <v>606</v>
      </c>
      <c r="K26" s="17" t="s">
        <v>607</v>
      </c>
      <c r="L26" s="17" t="s">
        <v>608</v>
      </c>
      <c r="M26" s="17" t="s">
        <v>609</v>
      </c>
      <c r="N26" s="17" t="s">
        <v>610</v>
      </c>
      <c r="O26" s="17" t="s">
        <v>611</v>
      </c>
      <c r="P26" s="17" t="s">
        <v>612</v>
      </c>
      <c r="Q26" s="17" t="s">
        <v>613</v>
      </c>
      <c r="R26" s="16" t="s">
        <v>103</v>
      </c>
      <c r="S26" s="19" t="s">
        <v>614</v>
      </c>
      <c r="T26" s="19" t="s">
        <v>615</v>
      </c>
      <c r="U26" s="19" t="s">
        <v>67</v>
      </c>
    </row>
    <row r="27" customFormat="false" ht="96" hidden="false" customHeight="true" outlineLevel="0" collapsed="false">
      <c r="A27" s="16" t="n">
        <v>23</v>
      </c>
      <c r="B27" s="16" t="s">
        <v>616</v>
      </c>
      <c r="C27" s="17" t="s">
        <v>617</v>
      </c>
      <c r="D27" s="17" t="s">
        <v>618</v>
      </c>
      <c r="E27" s="16" t="n">
        <v>2024</v>
      </c>
      <c r="F27" s="17" t="s">
        <v>209</v>
      </c>
      <c r="G27" s="16" t="s">
        <v>199</v>
      </c>
      <c r="H27" s="21" t="s">
        <v>13</v>
      </c>
      <c r="I27" s="17" t="s">
        <v>125</v>
      </c>
      <c r="J27" s="17" t="s">
        <v>544</v>
      </c>
      <c r="K27" s="17" t="s">
        <v>619</v>
      </c>
      <c r="L27" s="17" t="s">
        <v>620</v>
      </c>
      <c r="M27" s="17" t="s">
        <v>621</v>
      </c>
      <c r="N27" s="17" t="s">
        <v>622</v>
      </c>
      <c r="O27" s="17" t="s">
        <v>549</v>
      </c>
      <c r="P27" s="17" t="s">
        <v>623</v>
      </c>
      <c r="Q27" s="17" t="s">
        <v>624</v>
      </c>
      <c r="R27" s="16" t="s">
        <v>103</v>
      </c>
      <c r="S27" s="19" t="s">
        <v>625</v>
      </c>
      <c r="T27" s="19" t="s">
        <v>626</v>
      </c>
      <c r="U27" s="19" t="s">
        <v>67</v>
      </c>
    </row>
    <row r="28" customFormat="false" ht="96" hidden="false" customHeight="true" outlineLevel="0" collapsed="false">
      <c r="A28" s="16" t="n">
        <v>24</v>
      </c>
      <c r="B28" s="16" t="s">
        <v>627</v>
      </c>
      <c r="C28" s="17" t="s">
        <v>628</v>
      </c>
      <c r="D28" s="17" t="s">
        <v>629</v>
      </c>
      <c r="E28" s="16" t="n">
        <v>2024</v>
      </c>
      <c r="F28" s="17" t="s">
        <v>630</v>
      </c>
      <c r="G28" s="16" t="s">
        <v>446</v>
      </c>
      <c r="H28" s="18" t="s">
        <v>23</v>
      </c>
      <c r="I28" s="17" t="s">
        <v>23</v>
      </c>
      <c r="J28" s="17" t="s">
        <v>631</v>
      </c>
      <c r="K28" s="17" t="s">
        <v>632</v>
      </c>
      <c r="L28" s="17" t="s">
        <v>633</v>
      </c>
      <c r="M28" s="17" t="s">
        <v>634</v>
      </c>
      <c r="N28" s="17" t="s">
        <v>635</v>
      </c>
      <c r="O28" s="17" t="s">
        <v>76</v>
      </c>
      <c r="P28" s="17" t="s">
        <v>636</v>
      </c>
      <c r="Q28" s="17" t="s">
        <v>637</v>
      </c>
      <c r="R28" s="16" t="s">
        <v>65</v>
      </c>
      <c r="S28" s="16"/>
      <c r="T28" s="19" t="s">
        <v>638</v>
      </c>
      <c r="U28" s="19" t="s">
        <v>67</v>
      </c>
    </row>
    <row r="29" customFormat="false" ht="96" hidden="false" customHeight="true" outlineLevel="0" collapsed="false">
      <c r="A29" s="16" t="n">
        <v>25</v>
      </c>
      <c r="B29" s="16" t="s">
        <v>639</v>
      </c>
      <c r="C29" s="17" t="s">
        <v>640</v>
      </c>
      <c r="D29" s="17" t="s">
        <v>641</v>
      </c>
      <c r="E29" s="16" t="n">
        <v>2024</v>
      </c>
      <c r="F29" s="17" t="s">
        <v>83</v>
      </c>
      <c r="G29" s="16" t="s">
        <v>84</v>
      </c>
      <c r="H29" s="18" t="s">
        <v>23</v>
      </c>
      <c r="I29" s="17" t="s">
        <v>23</v>
      </c>
      <c r="J29" s="17" t="s">
        <v>642</v>
      </c>
      <c r="K29" s="17" t="s">
        <v>643</v>
      </c>
      <c r="L29" s="17" t="s">
        <v>644</v>
      </c>
      <c r="M29" s="17" t="s">
        <v>645</v>
      </c>
      <c r="N29" s="17" t="s">
        <v>646</v>
      </c>
      <c r="O29" s="17" t="s">
        <v>76</v>
      </c>
      <c r="P29" s="17" t="s">
        <v>647</v>
      </c>
      <c r="Q29" s="17" t="s">
        <v>648</v>
      </c>
      <c r="R29" s="16" t="s">
        <v>65</v>
      </c>
      <c r="S29" s="16"/>
      <c r="T29" s="19" t="s">
        <v>649</v>
      </c>
      <c r="U29" s="19" t="s">
        <v>67</v>
      </c>
    </row>
  </sheetData>
  <autoFilter ref="A4:U29"/>
  <hyperlinks>
    <hyperlink ref="S5" r:id="rId1" display="https://github.com/foivospar/Arc2Face"/>
    <hyperlink ref="T5" r:id="rId2" display="https://arxiv.org/abs/2403.11641"/>
    <hyperlink ref="U5" r:id="rId3" display="Search"/>
    <hyperlink ref="S6" r:id="rId4" display="https://github.com/ZhengyueZhao/GrIDPure"/>
    <hyperlink ref="T6" r:id="rId5" display="https://arxiv.org/abs/2312.00084"/>
    <hyperlink ref="U6" r:id="rId6" display="Search"/>
    <hyperlink ref="S7" r:id="rId7" display="https://github.com/HansSunY/DiffAM"/>
    <hyperlink ref="T7" r:id="rId8" display="https://arxiv.org/abs/2405.09882"/>
    <hyperlink ref="U7" r:id="rId9" display="Search"/>
    <hyperlink ref="T8" r:id="rId10" display="https://arxiv.org/abs/2303.13269"/>
    <hyperlink ref="U8" r:id="rId11" display="Search"/>
    <hyperlink ref="T9" r:id="rId12" display="https://arxiv.org/abs/2411.16832"/>
    <hyperlink ref="U9" r:id="rId13" display="Search"/>
    <hyperlink ref="T10" r:id="rId14" display="https://arxiv.org/abs/2311.10476"/>
    <hyperlink ref="U10" r:id="rId15" display="Search"/>
    <hyperlink ref="T11" r:id="rId16" display="https://arxiv.org/abs/2411.09863"/>
    <hyperlink ref="U11" r:id="rId17" display="Search"/>
    <hyperlink ref="T12" r:id="rId18" display="https://arxiv.org/abs/2406.17219"/>
    <hyperlink ref="U12" r:id="rId19" display="Search"/>
    <hyperlink ref="T13" r:id="rId20" display="https://arxiv.org/abs/2210.10651"/>
    <hyperlink ref="U13" r:id="rId21" display="Search"/>
    <hyperlink ref="S14" r:id="rId22" display="https://github.com/SHI-Labs/Forget-Me-Not"/>
    <hyperlink ref="T14" r:id="rId23" display="https://arxiv.org/abs/2303.17591"/>
    <hyperlink ref="U14" r:id="rId24" display="Search"/>
    <hyperlink ref="S15" r:id="rId25" display="https://github.com/Harxis/G2Face"/>
    <hyperlink ref="T15" r:id="rId26" display="https://arxiv.org/abs/2408.09458"/>
    <hyperlink ref="U15" r:id="rId27" display="Search"/>
    <hyperlink ref="S16" r:id="rId28" display="https://github.com/hcmlab/GANonymization"/>
    <hyperlink ref="T16" r:id="rId29" display="https://arxiv.org/abs/2305.02143"/>
    <hyperlink ref="U16" r:id="rId30" display="Search"/>
    <hyperlink ref="S17" r:id="rId31" display="https://github.com/JJuOn/GUIDE"/>
    <hyperlink ref="T17" r:id="rId32" display="https://arxiv.org/abs/2405.09879"/>
    <hyperlink ref="U17" r:id="rId33" display="Search"/>
    <hyperlink ref="T18" r:id="rId34" display="https://arxiv.org/abs/2402.09225"/>
    <hyperlink ref="U18" r:id="rId35" display="Search"/>
    <hyperlink ref="T19" r:id="rId36" display="https://arxiv.org/abs/2403.14790"/>
    <hyperlink ref="U19" r:id="rId37" display="Search"/>
    <hyperlink ref="S20" r:id="rId38" display="https://github.com/daizigege/CanFG"/>
    <hyperlink ref="T20" r:id="rId39" display="https://doi.org/10.1145/3664647.3680704"/>
    <hyperlink ref="U20" r:id="rId40" display="Search"/>
    <hyperlink ref="S21" r:id="rId41" display="https://github.com/liuyixin-louis/MetaCloak"/>
    <hyperlink ref="T21" r:id="rId42" display="https://arxiv.org/abs/2311.13127"/>
    <hyperlink ref="U21" r:id="rId43" display="Search"/>
    <hyperlink ref="T22" r:id="rId44" display="https://arxiv.org/abs/2310.13828"/>
    <hyperlink ref="U22" r:id="rId45" display="Search"/>
    <hyperlink ref="T23" r:id="rId46" display="https://arxiv.org/abs/2407.13975"/>
    <hyperlink ref="U23" r:id="rId47" display="Search"/>
    <hyperlink ref="T24" r:id="rId48" display="https://arxiv.org/abs/2404.15081"/>
    <hyperlink ref="U24" r:id="rId49" display="Search"/>
    <hyperlink ref="S25" r:id="rId50" display="https://github.com/Tencent/TFace"/>
    <hyperlink ref="T25" r:id="rId51" display="https://openaccess.thecvf.com/content/CVPR2024/html/Mi_Privacy-Preserving_Face_Recognition_Using_Trainable_Feature_Subtraction_CVPR_2024_paper.html"/>
    <hyperlink ref="U25" r:id="rId52" display="Search"/>
    <hyperlink ref="S26" r:id="rId53" display="https://github.com/OPTML-Group/Unlearn-Saliency"/>
    <hyperlink ref="T26" r:id="rId54" display="https://arxiv.org/abs/2310.12508"/>
    <hyperlink ref="U26" r:id="rId55" display="Search"/>
    <hyperlink ref="S27" r:id="rId56" display="https://github.com/somuchtome/SimAC"/>
    <hyperlink ref="T27" r:id="rId57" display="https://arxiv.org/abs/2312.07865"/>
    <hyperlink ref="U27" r:id="rId58" display="Search"/>
    <hyperlink ref="T28" r:id="rId59" display="https://arxiv.org/abs/2303.08500"/>
    <hyperlink ref="U28" r:id="rId60" display="Search"/>
    <hyperlink ref="T29" r:id="rId61" display="https://doi.org/10.1109/TIFS.2024.3381820"/>
    <hyperlink ref="U29" r:id="rId62"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2689</v>
      </c>
    </row>
    <row r="2" customFormat="false" ht="15" hidden="false" customHeight="false" outlineLevel="0" collapsed="false">
      <c r="A2" s="14" t="s">
        <v>2706</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144</v>
      </c>
      <c r="C5" s="17" t="s">
        <v>145</v>
      </c>
      <c r="D5" s="17" t="s">
        <v>146</v>
      </c>
      <c r="E5" s="16" t="n">
        <v>2025</v>
      </c>
      <c r="F5" s="17" t="s">
        <v>147</v>
      </c>
      <c r="G5" s="16" t="s">
        <v>148</v>
      </c>
      <c r="H5" s="18" t="s">
        <v>23</v>
      </c>
      <c r="I5" s="17" t="s">
        <v>23</v>
      </c>
      <c r="J5" s="17" t="s">
        <v>149</v>
      </c>
      <c r="K5" s="17" t="s">
        <v>150</v>
      </c>
      <c r="L5" s="17" t="s">
        <v>151</v>
      </c>
      <c r="M5" s="17" t="s">
        <v>152</v>
      </c>
      <c r="N5" s="17" t="s">
        <v>153</v>
      </c>
      <c r="O5" s="17" t="s">
        <v>76</v>
      </c>
      <c r="P5" s="17" t="s">
        <v>154</v>
      </c>
      <c r="Q5" s="17" t="s">
        <v>155</v>
      </c>
      <c r="R5" s="16" t="s">
        <v>103</v>
      </c>
      <c r="S5" s="19" t="s">
        <v>156</v>
      </c>
      <c r="T5" s="19" t="s">
        <v>157</v>
      </c>
      <c r="U5" s="19" t="s">
        <v>67</v>
      </c>
    </row>
    <row r="6" customFormat="false" ht="96" hidden="false" customHeight="true" outlineLevel="0" collapsed="false">
      <c r="A6" s="16" t="n">
        <v>2</v>
      </c>
      <c r="B6" s="16" t="s">
        <v>158</v>
      </c>
      <c r="C6" s="17" t="s">
        <v>159</v>
      </c>
      <c r="D6" s="17" t="s">
        <v>160</v>
      </c>
      <c r="E6" s="16" t="n">
        <v>2025</v>
      </c>
      <c r="F6" s="17" t="s">
        <v>161</v>
      </c>
      <c r="G6" s="16" t="s">
        <v>162</v>
      </c>
      <c r="H6" s="18" t="s">
        <v>23</v>
      </c>
      <c r="I6" s="17" t="s">
        <v>23</v>
      </c>
      <c r="J6" s="17" t="s">
        <v>163</v>
      </c>
      <c r="K6" s="17" t="s">
        <v>164</v>
      </c>
      <c r="L6" s="17" t="s">
        <v>165</v>
      </c>
      <c r="M6" s="17" t="s">
        <v>166</v>
      </c>
      <c r="N6" s="17" t="s">
        <v>167</v>
      </c>
      <c r="O6" s="17" t="s">
        <v>168</v>
      </c>
      <c r="P6" s="17" t="s">
        <v>169</v>
      </c>
      <c r="Q6" s="17" t="s">
        <v>170</v>
      </c>
      <c r="R6" s="16" t="s">
        <v>65</v>
      </c>
      <c r="S6" s="16"/>
      <c r="T6" s="19" t="s">
        <v>171</v>
      </c>
      <c r="U6" s="19" t="s">
        <v>67</v>
      </c>
    </row>
    <row r="7" customFormat="false" ht="96" hidden="false" customHeight="true" outlineLevel="0" collapsed="false">
      <c r="A7" s="16" t="n">
        <v>3</v>
      </c>
      <c r="B7" s="16" t="s">
        <v>172</v>
      </c>
      <c r="C7" s="17" t="s">
        <v>173</v>
      </c>
      <c r="D7" s="17" t="s">
        <v>174</v>
      </c>
      <c r="E7" s="16" t="n">
        <v>2025</v>
      </c>
      <c r="F7" s="17" t="s">
        <v>71</v>
      </c>
      <c r="G7" s="16" t="s">
        <v>56</v>
      </c>
      <c r="H7" s="21" t="s">
        <v>11</v>
      </c>
      <c r="I7" s="17" t="s">
        <v>125</v>
      </c>
      <c r="J7" s="17" t="s">
        <v>126</v>
      </c>
      <c r="K7" s="17" t="s">
        <v>175</v>
      </c>
      <c r="L7" s="17" t="s">
        <v>176</v>
      </c>
      <c r="M7" s="17" t="s">
        <v>177</v>
      </c>
      <c r="N7" s="17" t="s">
        <v>178</v>
      </c>
      <c r="O7" s="17" t="s">
        <v>179</v>
      </c>
      <c r="P7" s="17" t="s">
        <v>77</v>
      </c>
      <c r="Q7" s="17" t="s">
        <v>180</v>
      </c>
      <c r="R7" s="16" t="s">
        <v>65</v>
      </c>
      <c r="S7" s="16"/>
      <c r="T7" s="19" t="s">
        <v>181</v>
      </c>
      <c r="U7" s="19" t="s">
        <v>67</v>
      </c>
    </row>
    <row r="8" customFormat="false" ht="96" hidden="false" customHeight="true" outlineLevel="0" collapsed="false">
      <c r="A8" s="16" t="n">
        <v>4</v>
      </c>
      <c r="B8" s="16" t="s">
        <v>182</v>
      </c>
      <c r="C8" s="17" t="s">
        <v>183</v>
      </c>
      <c r="D8" s="17" t="s">
        <v>184</v>
      </c>
      <c r="E8" s="16" t="n">
        <v>2025</v>
      </c>
      <c r="F8" s="17" t="s">
        <v>185</v>
      </c>
      <c r="G8" s="16" t="s">
        <v>84</v>
      </c>
      <c r="H8" s="21" t="s">
        <v>11</v>
      </c>
      <c r="I8" s="17" t="s">
        <v>125</v>
      </c>
      <c r="J8" s="17" t="s">
        <v>186</v>
      </c>
      <c r="K8" s="17" t="s">
        <v>187</v>
      </c>
      <c r="L8" s="17" t="s">
        <v>188</v>
      </c>
      <c r="M8" s="17" t="s">
        <v>189</v>
      </c>
      <c r="N8" s="17" t="s">
        <v>130</v>
      </c>
      <c r="O8" s="17" t="s">
        <v>190</v>
      </c>
      <c r="P8" s="17" t="s">
        <v>191</v>
      </c>
      <c r="Q8" s="17" t="s">
        <v>192</v>
      </c>
      <c r="R8" s="16" t="s">
        <v>103</v>
      </c>
      <c r="S8" s="19" t="s">
        <v>193</v>
      </c>
      <c r="T8" s="19" t="s">
        <v>194</v>
      </c>
      <c r="U8" s="19" t="s">
        <v>67</v>
      </c>
    </row>
    <row r="9" customFormat="false" ht="96" hidden="false" customHeight="true" outlineLevel="0" collapsed="false">
      <c r="A9" s="16" t="n">
        <v>5</v>
      </c>
      <c r="B9" s="16" t="s">
        <v>195</v>
      </c>
      <c r="C9" s="17" t="s">
        <v>196</v>
      </c>
      <c r="D9" s="17" t="s">
        <v>197</v>
      </c>
      <c r="E9" s="16" t="n">
        <v>2025</v>
      </c>
      <c r="F9" s="17" t="s">
        <v>198</v>
      </c>
      <c r="G9" s="16" t="s">
        <v>199</v>
      </c>
      <c r="H9" s="21" t="s">
        <v>11</v>
      </c>
      <c r="I9" s="17" t="s">
        <v>125</v>
      </c>
      <c r="J9" s="17" t="s">
        <v>186</v>
      </c>
      <c r="K9" s="17" t="s">
        <v>200</v>
      </c>
      <c r="L9" s="17" t="s">
        <v>201</v>
      </c>
      <c r="M9" s="17" t="s">
        <v>202</v>
      </c>
      <c r="N9" s="17" t="s">
        <v>130</v>
      </c>
      <c r="O9" s="17" t="s">
        <v>131</v>
      </c>
      <c r="P9" s="17" t="s">
        <v>203</v>
      </c>
      <c r="Q9" s="17" t="s">
        <v>204</v>
      </c>
      <c r="R9" s="16" t="s">
        <v>65</v>
      </c>
      <c r="S9" s="16"/>
      <c r="T9" s="19" t="s">
        <v>205</v>
      </c>
      <c r="U9" s="19" t="s">
        <v>67</v>
      </c>
    </row>
    <row r="10" customFormat="false" ht="96" hidden="false" customHeight="true" outlineLevel="0" collapsed="false">
      <c r="A10" s="16" t="n">
        <v>6</v>
      </c>
      <c r="B10" s="16" t="s">
        <v>206</v>
      </c>
      <c r="C10" s="17" t="s">
        <v>207</v>
      </c>
      <c r="D10" s="17" t="s">
        <v>208</v>
      </c>
      <c r="E10" s="16" t="n">
        <v>2025</v>
      </c>
      <c r="F10" s="17" t="s">
        <v>209</v>
      </c>
      <c r="G10" s="16" t="s">
        <v>199</v>
      </c>
      <c r="H10" s="21" t="s">
        <v>11</v>
      </c>
      <c r="I10" s="17" t="s">
        <v>125</v>
      </c>
      <c r="J10" s="17" t="s">
        <v>186</v>
      </c>
      <c r="K10" s="17" t="s">
        <v>210</v>
      </c>
      <c r="L10" s="17" t="s">
        <v>211</v>
      </c>
      <c r="M10" s="17" t="s">
        <v>212</v>
      </c>
      <c r="N10" s="17" t="s">
        <v>213</v>
      </c>
      <c r="O10" s="17" t="s">
        <v>214</v>
      </c>
      <c r="P10" s="17" t="s">
        <v>215</v>
      </c>
      <c r="Q10" s="17" t="s">
        <v>216</v>
      </c>
      <c r="R10" s="16" t="s">
        <v>103</v>
      </c>
      <c r="S10" s="19" t="s">
        <v>217</v>
      </c>
      <c r="T10" s="19" t="s">
        <v>218</v>
      </c>
      <c r="U10" s="19" t="s">
        <v>67</v>
      </c>
    </row>
    <row r="11" customFormat="false" ht="96" hidden="false" customHeight="true" outlineLevel="0" collapsed="false">
      <c r="A11" s="16" t="n">
        <v>7</v>
      </c>
      <c r="B11" s="16" t="s">
        <v>219</v>
      </c>
      <c r="C11" s="17" t="s">
        <v>220</v>
      </c>
      <c r="D11" s="17" t="s">
        <v>221</v>
      </c>
      <c r="E11" s="16" t="n">
        <v>2025</v>
      </c>
      <c r="F11" s="17" t="s">
        <v>222</v>
      </c>
      <c r="G11" s="16" t="s">
        <v>199</v>
      </c>
      <c r="H11" s="22" t="s">
        <v>9</v>
      </c>
      <c r="I11" s="17" t="s">
        <v>223</v>
      </c>
      <c r="J11" s="17" t="s">
        <v>224</v>
      </c>
      <c r="K11" s="17" t="s">
        <v>225</v>
      </c>
      <c r="L11" s="17" t="s">
        <v>226</v>
      </c>
      <c r="M11" s="17" t="s">
        <v>227</v>
      </c>
      <c r="N11" s="17" t="s">
        <v>228</v>
      </c>
      <c r="O11" s="17" t="s">
        <v>229</v>
      </c>
      <c r="P11" s="17" t="s">
        <v>230</v>
      </c>
      <c r="Q11" s="17" t="s">
        <v>231</v>
      </c>
      <c r="R11" s="16" t="s">
        <v>103</v>
      </c>
      <c r="S11" s="19" t="s">
        <v>232</v>
      </c>
      <c r="T11" s="19" t="s">
        <v>233</v>
      </c>
      <c r="U11" s="19" t="s">
        <v>67</v>
      </c>
    </row>
    <row r="12" customFormat="false" ht="96" hidden="false" customHeight="true" outlineLevel="0" collapsed="false">
      <c r="A12" s="16" t="n">
        <v>8</v>
      </c>
      <c r="B12" s="16" t="s">
        <v>234</v>
      </c>
      <c r="C12" s="17" t="s">
        <v>235</v>
      </c>
      <c r="D12" s="17" t="s">
        <v>236</v>
      </c>
      <c r="E12" s="16" t="n">
        <v>2025</v>
      </c>
      <c r="F12" s="17" t="s">
        <v>237</v>
      </c>
      <c r="G12" s="16" t="s">
        <v>199</v>
      </c>
      <c r="H12" s="18" t="s">
        <v>23</v>
      </c>
      <c r="I12" s="17" t="s">
        <v>23</v>
      </c>
      <c r="J12" s="17" t="s">
        <v>238</v>
      </c>
      <c r="K12" s="17" t="s">
        <v>239</v>
      </c>
      <c r="L12" s="17" t="s">
        <v>240</v>
      </c>
      <c r="M12" s="17" t="s">
        <v>241</v>
      </c>
      <c r="N12" s="17" t="s">
        <v>242</v>
      </c>
      <c r="O12" s="17" t="s">
        <v>76</v>
      </c>
      <c r="P12" s="17" t="s">
        <v>243</v>
      </c>
      <c r="Q12" s="17" t="s">
        <v>244</v>
      </c>
      <c r="R12" s="16" t="s">
        <v>65</v>
      </c>
      <c r="S12" s="16"/>
      <c r="T12" s="19" t="s">
        <v>245</v>
      </c>
      <c r="U12" s="19" t="s">
        <v>67</v>
      </c>
    </row>
    <row r="13" customFormat="false" ht="96" hidden="false" customHeight="true" outlineLevel="0" collapsed="false">
      <c r="A13" s="16" t="n">
        <v>9</v>
      </c>
      <c r="B13" s="16" t="s">
        <v>246</v>
      </c>
      <c r="C13" s="17" t="s">
        <v>247</v>
      </c>
      <c r="D13" s="17" t="s">
        <v>248</v>
      </c>
      <c r="E13" s="16" t="n">
        <v>2025</v>
      </c>
      <c r="F13" s="17" t="s">
        <v>249</v>
      </c>
      <c r="G13" s="16" t="s">
        <v>84</v>
      </c>
      <c r="H13" s="20" t="s">
        <v>25</v>
      </c>
      <c r="I13" s="17" t="s">
        <v>72</v>
      </c>
      <c r="J13" s="17" t="s">
        <v>73</v>
      </c>
      <c r="K13" s="17" t="s">
        <v>73</v>
      </c>
      <c r="L13" s="17" t="s">
        <v>250</v>
      </c>
      <c r="M13" s="17" t="s">
        <v>251</v>
      </c>
      <c r="N13" s="17" t="s">
        <v>76</v>
      </c>
      <c r="O13" s="17" t="s">
        <v>76</v>
      </c>
      <c r="P13" s="17" t="s">
        <v>252</v>
      </c>
      <c r="Q13" s="17" t="s">
        <v>253</v>
      </c>
      <c r="R13" s="16" t="s">
        <v>65</v>
      </c>
      <c r="S13" s="16"/>
      <c r="T13" s="19" t="s">
        <v>254</v>
      </c>
      <c r="U13" s="19" t="s">
        <v>67</v>
      </c>
    </row>
    <row r="14" customFormat="false" ht="96" hidden="false" customHeight="true" outlineLevel="0" collapsed="false">
      <c r="A14" s="16" t="n">
        <v>10</v>
      </c>
      <c r="B14" s="16" t="s">
        <v>255</v>
      </c>
      <c r="C14" s="17" t="s">
        <v>256</v>
      </c>
      <c r="D14" s="17" t="s">
        <v>257</v>
      </c>
      <c r="E14" s="16" t="n">
        <v>2025</v>
      </c>
      <c r="F14" s="17" t="s">
        <v>209</v>
      </c>
      <c r="G14" s="16" t="s">
        <v>199</v>
      </c>
      <c r="H14" s="21" t="s">
        <v>13</v>
      </c>
      <c r="I14" s="17" t="s">
        <v>125</v>
      </c>
      <c r="J14" s="17" t="s">
        <v>224</v>
      </c>
      <c r="K14" s="17" t="s">
        <v>258</v>
      </c>
      <c r="L14" s="17" t="s">
        <v>259</v>
      </c>
      <c r="M14" s="17" t="s">
        <v>260</v>
      </c>
      <c r="N14" s="17" t="s">
        <v>261</v>
      </c>
      <c r="O14" s="17" t="s">
        <v>262</v>
      </c>
      <c r="P14" s="17" t="s">
        <v>263</v>
      </c>
      <c r="Q14" s="17" t="s">
        <v>264</v>
      </c>
      <c r="R14" s="16" t="s">
        <v>65</v>
      </c>
      <c r="S14" s="16"/>
      <c r="T14" s="19" t="s">
        <v>265</v>
      </c>
      <c r="U14" s="19" t="s">
        <v>67</v>
      </c>
    </row>
    <row r="15" customFormat="false" ht="96" hidden="false" customHeight="true" outlineLevel="0" collapsed="false">
      <c r="A15" s="16" t="n">
        <v>11</v>
      </c>
      <c r="B15" s="16" t="s">
        <v>266</v>
      </c>
      <c r="C15" s="17" t="s">
        <v>267</v>
      </c>
      <c r="D15" s="17" t="s">
        <v>268</v>
      </c>
      <c r="E15" s="16" t="n">
        <v>2025</v>
      </c>
      <c r="F15" s="17" t="s">
        <v>71</v>
      </c>
      <c r="G15" s="16" t="s">
        <v>56</v>
      </c>
      <c r="H15" s="18" t="s">
        <v>23</v>
      </c>
      <c r="I15" s="17" t="s">
        <v>23</v>
      </c>
      <c r="J15" s="17" t="s">
        <v>114</v>
      </c>
      <c r="K15" s="17" t="s">
        <v>269</v>
      </c>
      <c r="L15" s="17" t="s">
        <v>270</v>
      </c>
      <c r="M15" s="17" t="s">
        <v>271</v>
      </c>
      <c r="N15" s="17" t="s">
        <v>272</v>
      </c>
      <c r="O15" s="17" t="s">
        <v>76</v>
      </c>
      <c r="P15" s="17" t="s">
        <v>273</v>
      </c>
      <c r="Q15" s="17" t="s">
        <v>274</v>
      </c>
      <c r="R15" s="16" t="s">
        <v>65</v>
      </c>
      <c r="S15" s="16"/>
      <c r="T15" s="19" t="s">
        <v>275</v>
      </c>
      <c r="U15" s="19" t="s">
        <v>67</v>
      </c>
    </row>
    <row r="16" customFormat="false" ht="96" hidden="false" customHeight="true" outlineLevel="0" collapsed="false">
      <c r="A16" s="16" t="n">
        <v>12</v>
      </c>
      <c r="B16" s="16" t="s">
        <v>276</v>
      </c>
      <c r="C16" s="17" t="s">
        <v>277</v>
      </c>
      <c r="D16" s="17" t="s">
        <v>278</v>
      </c>
      <c r="E16" s="16" t="n">
        <v>2025</v>
      </c>
      <c r="F16" s="17" t="s">
        <v>71</v>
      </c>
      <c r="G16" s="16" t="s">
        <v>56</v>
      </c>
      <c r="H16" s="22" t="s">
        <v>9</v>
      </c>
      <c r="I16" s="17" t="s">
        <v>223</v>
      </c>
      <c r="J16" s="17" t="s">
        <v>279</v>
      </c>
      <c r="K16" s="17" t="s">
        <v>280</v>
      </c>
      <c r="L16" s="17" t="s">
        <v>281</v>
      </c>
      <c r="M16" s="17" t="s">
        <v>282</v>
      </c>
      <c r="N16" s="17" t="s">
        <v>283</v>
      </c>
      <c r="O16" s="17" t="s">
        <v>284</v>
      </c>
      <c r="P16" s="17" t="s">
        <v>285</v>
      </c>
      <c r="Q16" s="17" t="s">
        <v>286</v>
      </c>
      <c r="R16" s="16" t="s">
        <v>65</v>
      </c>
      <c r="S16" s="16"/>
      <c r="T16" s="19" t="s">
        <v>287</v>
      </c>
      <c r="U16" s="19" t="s">
        <v>67</v>
      </c>
    </row>
    <row r="17" customFormat="false" ht="96" hidden="false" customHeight="true" outlineLevel="0" collapsed="false">
      <c r="A17" s="16" t="n">
        <v>13</v>
      </c>
      <c r="B17" s="16" t="s">
        <v>288</v>
      </c>
      <c r="C17" s="17" t="s">
        <v>289</v>
      </c>
      <c r="D17" s="17" t="s">
        <v>290</v>
      </c>
      <c r="E17" s="16" t="n">
        <v>2025</v>
      </c>
      <c r="F17" s="17" t="s">
        <v>291</v>
      </c>
      <c r="G17" s="16" t="s">
        <v>199</v>
      </c>
      <c r="H17" s="22" t="s">
        <v>9</v>
      </c>
      <c r="I17" s="17" t="s">
        <v>223</v>
      </c>
      <c r="J17" s="17" t="s">
        <v>292</v>
      </c>
      <c r="K17" s="17" t="s">
        <v>293</v>
      </c>
      <c r="L17" s="17" t="s">
        <v>294</v>
      </c>
      <c r="M17" s="17" t="s">
        <v>295</v>
      </c>
      <c r="N17" s="17" t="s">
        <v>296</v>
      </c>
      <c r="O17" s="17" t="s">
        <v>297</v>
      </c>
      <c r="P17" s="17" t="s">
        <v>298</v>
      </c>
      <c r="Q17" s="17" t="s">
        <v>299</v>
      </c>
      <c r="R17" s="16" t="s">
        <v>103</v>
      </c>
      <c r="S17" s="19" t="s">
        <v>300</v>
      </c>
      <c r="T17" s="19" t="s">
        <v>301</v>
      </c>
      <c r="U17" s="19" t="s">
        <v>67</v>
      </c>
    </row>
    <row r="18" customFormat="false" ht="96" hidden="false" customHeight="true" outlineLevel="0" collapsed="false">
      <c r="A18" s="16" t="n">
        <v>14</v>
      </c>
      <c r="B18" s="16" t="s">
        <v>302</v>
      </c>
      <c r="C18" s="17" t="s">
        <v>303</v>
      </c>
      <c r="D18" s="17" t="s">
        <v>304</v>
      </c>
      <c r="E18" s="16" t="n">
        <v>2025</v>
      </c>
      <c r="F18" s="17" t="s">
        <v>71</v>
      </c>
      <c r="G18" s="16" t="s">
        <v>56</v>
      </c>
      <c r="H18" s="21" t="s">
        <v>11</v>
      </c>
      <c r="I18" s="17" t="s">
        <v>125</v>
      </c>
      <c r="J18" s="17" t="s">
        <v>305</v>
      </c>
      <c r="K18" s="17" t="s">
        <v>306</v>
      </c>
      <c r="L18" s="17" t="s">
        <v>307</v>
      </c>
      <c r="M18" s="17" t="s">
        <v>308</v>
      </c>
      <c r="N18" s="17" t="s">
        <v>309</v>
      </c>
      <c r="O18" s="17" t="s">
        <v>310</v>
      </c>
      <c r="P18" s="17" t="s">
        <v>77</v>
      </c>
      <c r="Q18" s="17" t="s">
        <v>311</v>
      </c>
      <c r="R18" s="16" t="s">
        <v>65</v>
      </c>
      <c r="S18" s="16"/>
      <c r="T18" s="19" t="s">
        <v>312</v>
      </c>
      <c r="U18" s="19" t="s">
        <v>67</v>
      </c>
    </row>
    <row r="19" customFormat="false" ht="96" hidden="false" customHeight="true" outlineLevel="0" collapsed="false">
      <c r="A19" s="16" t="n">
        <v>15</v>
      </c>
      <c r="B19" s="16" t="s">
        <v>313</v>
      </c>
      <c r="C19" s="17" t="s">
        <v>314</v>
      </c>
      <c r="D19" s="17" t="s">
        <v>315</v>
      </c>
      <c r="E19" s="16" t="n">
        <v>2025</v>
      </c>
      <c r="F19" s="17" t="s">
        <v>71</v>
      </c>
      <c r="G19" s="16" t="s">
        <v>56</v>
      </c>
      <c r="H19" s="22" t="s">
        <v>9</v>
      </c>
      <c r="I19" s="17" t="s">
        <v>223</v>
      </c>
      <c r="J19" s="17" t="s">
        <v>126</v>
      </c>
      <c r="K19" s="17" t="s">
        <v>316</v>
      </c>
      <c r="L19" s="17" t="s">
        <v>317</v>
      </c>
      <c r="M19" s="17" t="s">
        <v>318</v>
      </c>
      <c r="N19" s="17" t="s">
        <v>319</v>
      </c>
      <c r="O19" s="17" t="s">
        <v>320</v>
      </c>
      <c r="P19" s="17" t="s">
        <v>321</v>
      </c>
      <c r="Q19" s="17" t="s">
        <v>322</v>
      </c>
      <c r="R19" s="16" t="s">
        <v>65</v>
      </c>
      <c r="S19" s="16"/>
      <c r="T19" s="19" t="s">
        <v>323</v>
      </c>
      <c r="U19" s="19" t="s">
        <v>67</v>
      </c>
    </row>
    <row r="20" customFormat="false" ht="96" hidden="false" customHeight="true" outlineLevel="0" collapsed="false">
      <c r="A20" s="16" t="n">
        <v>16</v>
      </c>
      <c r="B20" s="16" t="s">
        <v>324</v>
      </c>
      <c r="C20" s="17" t="s">
        <v>325</v>
      </c>
      <c r="D20" s="17" t="s">
        <v>326</v>
      </c>
      <c r="E20" s="16" t="n">
        <v>2025</v>
      </c>
      <c r="F20" s="17" t="s">
        <v>327</v>
      </c>
      <c r="G20" s="16" t="s">
        <v>148</v>
      </c>
      <c r="H20" s="23" t="s">
        <v>19</v>
      </c>
      <c r="I20" s="17" t="s">
        <v>328</v>
      </c>
      <c r="J20" s="17" t="s">
        <v>329</v>
      </c>
      <c r="K20" s="17" t="s">
        <v>330</v>
      </c>
      <c r="L20" s="17" t="s">
        <v>331</v>
      </c>
      <c r="M20" s="17" t="s">
        <v>332</v>
      </c>
      <c r="N20" s="17" t="s">
        <v>333</v>
      </c>
      <c r="O20" s="17" t="s">
        <v>334</v>
      </c>
      <c r="P20" s="17" t="s">
        <v>335</v>
      </c>
      <c r="Q20" s="17" t="s">
        <v>336</v>
      </c>
      <c r="R20" s="16" t="s">
        <v>103</v>
      </c>
      <c r="S20" s="19" t="s">
        <v>337</v>
      </c>
      <c r="T20" s="19" t="s">
        <v>338</v>
      </c>
      <c r="U20" s="19" t="s">
        <v>67</v>
      </c>
    </row>
    <row r="21" customFormat="false" ht="96" hidden="false" customHeight="true" outlineLevel="0" collapsed="false">
      <c r="A21" s="16" t="n">
        <v>17</v>
      </c>
      <c r="B21" s="16" t="s">
        <v>339</v>
      </c>
      <c r="C21" s="17" t="s">
        <v>340</v>
      </c>
      <c r="D21" s="17" t="s">
        <v>341</v>
      </c>
      <c r="E21" s="16" t="n">
        <v>2025</v>
      </c>
      <c r="F21" s="17" t="s">
        <v>138</v>
      </c>
      <c r="G21" s="16" t="s">
        <v>84</v>
      </c>
      <c r="H21" s="20" t="s">
        <v>25</v>
      </c>
      <c r="I21" s="17" t="s">
        <v>72</v>
      </c>
      <c r="J21" s="17" t="s">
        <v>73</v>
      </c>
      <c r="K21" s="17" t="s">
        <v>73</v>
      </c>
      <c r="L21" s="17" t="s">
        <v>342</v>
      </c>
      <c r="M21" s="17" t="s">
        <v>343</v>
      </c>
      <c r="N21" s="17" t="s">
        <v>76</v>
      </c>
      <c r="O21" s="17" t="s">
        <v>76</v>
      </c>
      <c r="P21" s="17" t="s">
        <v>344</v>
      </c>
      <c r="Q21" s="17" t="s">
        <v>345</v>
      </c>
      <c r="R21" s="16" t="s">
        <v>65</v>
      </c>
      <c r="S21" s="16"/>
      <c r="T21" s="19" t="s">
        <v>346</v>
      </c>
      <c r="U21" s="19" t="s">
        <v>67</v>
      </c>
    </row>
  </sheetData>
  <autoFilter ref="A4:U21"/>
  <hyperlinks>
    <hyperlink ref="S5" r:id="rId1" display="https://github.com/ethz-spylab/robust-style-mimicry"/>
    <hyperlink ref="T5" r:id="rId2" display="https://arxiv.org/abs/2406.12027"/>
    <hyperlink ref="U5" r:id="rId3" display="Search"/>
    <hyperlink ref="T6" r:id="rId4" display="https://arxiv.org/abs/2505.20985"/>
    <hyperlink ref="U6" r:id="rId5" display="Search"/>
    <hyperlink ref="T7" r:id="rId6" display="https://arxiv.org/abs/2503.10549"/>
    <hyperlink ref="U7" r:id="rId7" display="Search"/>
    <hyperlink ref="S8" r:id="rId8" display="https://github.com/joellliu/DiffProtect"/>
    <hyperlink ref="T8" r:id="rId9" display="https://arxiv.org/abs/2305.13625"/>
    <hyperlink ref="U8" r:id="rId10" display="Search"/>
    <hyperlink ref="T9" r:id="rId11" display="https://arxiv.org/abs/2504.21646"/>
    <hyperlink ref="U9" r:id="rId12" display="Search"/>
    <hyperlink ref="S10" r:id="rId13" display="https://github.com/parham1998/Facial-Privacy-Protection"/>
    <hyperlink ref="T10" r:id="rId14" display="https://openaccess.thecvf.com/content/CVPR2025/html/Salar_Enhancing_Facial_Privacy_Protection_via_Weakening_Diffusion_Purification_CVPR_2025_paper.html"/>
    <hyperlink ref="U10" r:id="rId15" display="Search"/>
    <hyperlink ref="S11" r:id="rId16" display="https://github.com/hanweikung/face_anon_simple"/>
    <hyperlink ref="T11" r:id="rId17" display="https://arxiv.org/abs/2411.00762"/>
    <hyperlink ref="U11" r:id="rId18" display="Search"/>
    <hyperlink ref="T12" r:id="rId19" display="https://arxiv.org/abs/2411.03960"/>
    <hyperlink ref="U12" r:id="rId20" display="Search"/>
    <hyperlink ref="T13" r:id="rId21" display="https://doi.org/10.1016/j.cosrev.2025.100785"/>
    <hyperlink ref="U13" r:id="rId22" display="Search"/>
    <hyperlink ref="T14" r:id="rId23" display="https://arxiv.org/abs/2412.11638"/>
    <hyperlink ref="U14" r:id="rId24" display="Search"/>
    <hyperlink ref="T15" r:id="rId25" display="https://arxiv.org/abs/2506.09777"/>
    <hyperlink ref="U15" r:id="rId26" display="Search"/>
    <hyperlink ref="T16" r:id="rId27" display="https://arxiv.org/abs/2509.11249"/>
    <hyperlink ref="U16" r:id="rId28" display="Search"/>
    <hyperlink ref="S17" r:id="rId29" display="https://github.com/anilegin/AnonNET"/>
    <hyperlink ref="T17" r:id="rId30" display="https://arxiv.org/abs/2601.11635"/>
    <hyperlink ref="U17" r:id="rId31" display="Search"/>
    <hyperlink ref="T18" r:id="rId32" display="https://arxiv.org/abs/2508.02034"/>
    <hyperlink ref="U18" r:id="rId33" display="Search"/>
    <hyperlink ref="T19" r:id="rId34" display="https://arxiv.org/abs/2510.01031"/>
    <hyperlink ref="U19" r:id="rId35" display="Search"/>
    <hyperlink ref="S20" r:id="rId36" display="https://github.com/HaiyuWu/vec2face"/>
    <hyperlink ref="T20" r:id="rId37" display="https://arxiv.org/abs/2409.02979"/>
    <hyperlink ref="U20" r:id="rId38" display="Search"/>
    <hyperlink ref="T21" r:id="rId39" display="https://arxiv.org/abs/2303.16552"/>
    <hyperlink ref="U21" r:id="rId40"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2690</v>
      </c>
    </row>
    <row r="2" customFormat="false" ht="15" hidden="false" customHeight="false" outlineLevel="0" collapsed="false">
      <c r="A2" s="14" t="s">
        <v>2707</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52</v>
      </c>
      <c r="C5" s="17" t="s">
        <v>53</v>
      </c>
      <c r="D5" s="17" t="s">
        <v>54</v>
      </c>
      <c r="E5" s="16" t="n">
        <v>2026</v>
      </c>
      <c r="F5" s="17" t="s">
        <v>55</v>
      </c>
      <c r="G5" s="16" t="s">
        <v>56</v>
      </c>
      <c r="H5" s="18" t="s">
        <v>23</v>
      </c>
      <c r="I5" s="17" t="s">
        <v>23</v>
      </c>
      <c r="J5" s="17" t="s">
        <v>57</v>
      </c>
      <c r="K5" s="17" t="s">
        <v>58</v>
      </c>
      <c r="L5" s="17" t="s">
        <v>59</v>
      </c>
      <c r="M5" s="17" t="s">
        <v>60</v>
      </c>
      <c r="N5" s="17" t="s">
        <v>61</v>
      </c>
      <c r="O5" s="17" t="s">
        <v>62</v>
      </c>
      <c r="P5" s="17" t="s">
        <v>63</v>
      </c>
      <c r="Q5" s="17" t="s">
        <v>64</v>
      </c>
      <c r="R5" s="16" t="s">
        <v>65</v>
      </c>
      <c r="S5" s="16"/>
      <c r="T5" s="19" t="s">
        <v>66</v>
      </c>
      <c r="U5" s="19" t="s">
        <v>67</v>
      </c>
    </row>
    <row r="6" customFormat="false" ht="96" hidden="false" customHeight="true" outlineLevel="0" collapsed="false">
      <c r="A6" s="16" t="n">
        <v>2</v>
      </c>
      <c r="B6" s="16" t="s">
        <v>68</v>
      </c>
      <c r="C6" s="17" t="s">
        <v>69</v>
      </c>
      <c r="D6" s="17" t="s">
        <v>70</v>
      </c>
      <c r="E6" s="16" t="n">
        <v>2026</v>
      </c>
      <c r="F6" s="17" t="s">
        <v>71</v>
      </c>
      <c r="G6" s="16" t="s">
        <v>56</v>
      </c>
      <c r="H6" s="20" t="s">
        <v>25</v>
      </c>
      <c r="I6" s="17" t="s">
        <v>72</v>
      </c>
      <c r="J6" s="17" t="s">
        <v>73</v>
      </c>
      <c r="K6" s="17" t="s">
        <v>73</v>
      </c>
      <c r="L6" s="17" t="s">
        <v>74</v>
      </c>
      <c r="M6" s="17" t="s">
        <v>75</v>
      </c>
      <c r="N6" s="17" t="s">
        <v>76</v>
      </c>
      <c r="O6" s="17" t="s">
        <v>76</v>
      </c>
      <c r="P6" s="17" t="s">
        <v>77</v>
      </c>
      <c r="Q6" s="17" t="s">
        <v>78</v>
      </c>
      <c r="R6" s="16" t="s">
        <v>65</v>
      </c>
      <c r="S6" s="16"/>
      <c r="T6" s="19" t="s">
        <v>79</v>
      </c>
      <c r="U6" s="19" t="s">
        <v>67</v>
      </c>
    </row>
    <row r="7" customFormat="false" ht="96" hidden="false" customHeight="true" outlineLevel="0" collapsed="false">
      <c r="A7" s="16" t="n">
        <v>3</v>
      </c>
      <c r="B7" s="16" t="s">
        <v>80</v>
      </c>
      <c r="C7" s="17" t="s">
        <v>81</v>
      </c>
      <c r="D7" s="17" t="s">
        <v>82</v>
      </c>
      <c r="E7" s="16" t="n">
        <v>2026</v>
      </c>
      <c r="F7" s="17" t="s">
        <v>83</v>
      </c>
      <c r="G7" s="16" t="s">
        <v>84</v>
      </c>
      <c r="H7" s="18" t="s">
        <v>23</v>
      </c>
      <c r="I7" s="17" t="s">
        <v>23</v>
      </c>
      <c r="J7" s="17" t="s">
        <v>85</v>
      </c>
      <c r="K7" s="17" t="s">
        <v>86</v>
      </c>
      <c r="L7" s="17" t="s">
        <v>87</v>
      </c>
      <c r="M7" s="17" t="s">
        <v>88</v>
      </c>
      <c r="N7" s="17" t="s">
        <v>89</v>
      </c>
      <c r="O7" s="17" t="s">
        <v>76</v>
      </c>
      <c r="P7" s="17" t="s">
        <v>90</v>
      </c>
      <c r="Q7" s="17" t="s">
        <v>91</v>
      </c>
      <c r="R7" s="16" t="s">
        <v>65</v>
      </c>
      <c r="S7" s="16"/>
      <c r="T7" s="19" t="s">
        <v>92</v>
      </c>
      <c r="U7" s="19" t="s">
        <v>67</v>
      </c>
    </row>
    <row r="8" customFormat="false" ht="96" hidden="false" customHeight="true" outlineLevel="0" collapsed="false">
      <c r="A8" s="16" t="n">
        <v>4</v>
      </c>
      <c r="B8" s="16" t="s">
        <v>93</v>
      </c>
      <c r="C8" s="17" t="s">
        <v>94</v>
      </c>
      <c r="D8" s="17" t="s">
        <v>95</v>
      </c>
      <c r="E8" s="16" t="n">
        <v>2026</v>
      </c>
      <c r="F8" s="17" t="s">
        <v>96</v>
      </c>
      <c r="G8" s="16" t="s">
        <v>56</v>
      </c>
      <c r="H8" s="20" t="s">
        <v>25</v>
      </c>
      <c r="I8" s="17" t="s">
        <v>72</v>
      </c>
      <c r="J8" s="17" t="s">
        <v>97</v>
      </c>
      <c r="K8" s="17" t="s">
        <v>98</v>
      </c>
      <c r="L8" s="17" t="s">
        <v>99</v>
      </c>
      <c r="M8" s="17" t="s">
        <v>100</v>
      </c>
      <c r="N8" s="17" t="s">
        <v>76</v>
      </c>
      <c r="O8" s="17" t="s">
        <v>76</v>
      </c>
      <c r="P8" s="17" t="s">
        <v>101</v>
      </c>
      <c r="Q8" s="17" t="s">
        <v>102</v>
      </c>
      <c r="R8" s="16" t="s">
        <v>103</v>
      </c>
      <c r="S8" s="19" t="s">
        <v>104</v>
      </c>
      <c r="T8" s="19" t="s">
        <v>104</v>
      </c>
      <c r="U8" s="19" t="s">
        <v>67</v>
      </c>
    </row>
    <row r="9" customFormat="false" ht="96" hidden="false" customHeight="true" outlineLevel="0" collapsed="false">
      <c r="A9" s="16" t="n">
        <v>5</v>
      </c>
      <c r="B9" s="16" t="s">
        <v>105</v>
      </c>
      <c r="C9" s="17" t="s">
        <v>106</v>
      </c>
      <c r="D9" s="17" t="s">
        <v>95</v>
      </c>
      <c r="E9" s="16" t="n">
        <v>2026</v>
      </c>
      <c r="F9" s="17" t="s">
        <v>71</v>
      </c>
      <c r="G9" s="16" t="s">
        <v>56</v>
      </c>
      <c r="H9" s="20" t="s">
        <v>25</v>
      </c>
      <c r="I9" s="17" t="s">
        <v>72</v>
      </c>
      <c r="J9" s="17" t="s">
        <v>73</v>
      </c>
      <c r="K9" s="17" t="s">
        <v>73</v>
      </c>
      <c r="L9" s="17" t="s">
        <v>107</v>
      </c>
      <c r="M9" s="17" t="s">
        <v>108</v>
      </c>
      <c r="N9" s="17" t="s">
        <v>76</v>
      </c>
      <c r="O9" s="17" t="s">
        <v>76</v>
      </c>
      <c r="P9" s="17" t="s">
        <v>77</v>
      </c>
      <c r="Q9" s="17" t="s">
        <v>109</v>
      </c>
      <c r="R9" s="16" t="s">
        <v>65</v>
      </c>
      <c r="S9" s="16"/>
      <c r="T9" s="19" t="s">
        <v>110</v>
      </c>
      <c r="U9" s="19" t="s">
        <v>67</v>
      </c>
    </row>
    <row r="10" customFormat="false" ht="96" hidden="false" customHeight="true" outlineLevel="0" collapsed="false">
      <c r="A10" s="16" t="n">
        <v>6</v>
      </c>
      <c r="B10" s="16" t="s">
        <v>111</v>
      </c>
      <c r="C10" s="17" t="s">
        <v>112</v>
      </c>
      <c r="D10" s="17" t="s">
        <v>113</v>
      </c>
      <c r="E10" s="16" t="n">
        <v>2026</v>
      </c>
      <c r="F10" s="17" t="s">
        <v>71</v>
      </c>
      <c r="G10" s="16" t="s">
        <v>56</v>
      </c>
      <c r="H10" s="18" t="s">
        <v>23</v>
      </c>
      <c r="I10" s="17" t="s">
        <v>23</v>
      </c>
      <c r="J10" s="17" t="s">
        <v>114</v>
      </c>
      <c r="K10" s="17" t="s">
        <v>115</v>
      </c>
      <c r="L10" s="17" t="s">
        <v>116</v>
      </c>
      <c r="M10" s="17" t="s">
        <v>117</v>
      </c>
      <c r="N10" s="17" t="s">
        <v>118</v>
      </c>
      <c r="O10" s="17" t="s">
        <v>76</v>
      </c>
      <c r="P10" s="17" t="s">
        <v>119</v>
      </c>
      <c r="Q10" s="17" t="s">
        <v>120</v>
      </c>
      <c r="R10" s="16" t="s">
        <v>65</v>
      </c>
      <c r="S10" s="16"/>
      <c r="T10" s="19" t="s">
        <v>121</v>
      </c>
      <c r="U10" s="19" t="s">
        <v>67</v>
      </c>
    </row>
    <row r="11" customFormat="false" ht="96" hidden="false" customHeight="true" outlineLevel="0" collapsed="false">
      <c r="A11" s="16" t="n">
        <v>7</v>
      </c>
      <c r="B11" s="16" t="s">
        <v>122</v>
      </c>
      <c r="C11" s="17" t="s">
        <v>123</v>
      </c>
      <c r="D11" s="17" t="s">
        <v>124</v>
      </c>
      <c r="E11" s="16" t="n">
        <v>2026</v>
      </c>
      <c r="F11" s="17" t="s">
        <v>71</v>
      </c>
      <c r="G11" s="16" t="s">
        <v>56</v>
      </c>
      <c r="H11" s="21" t="s">
        <v>11</v>
      </c>
      <c r="I11" s="17" t="s">
        <v>125</v>
      </c>
      <c r="J11" s="17" t="s">
        <v>126</v>
      </c>
      <c r="K11" s="17" t="s">
        <v>127</v>
      </c>
      <c r="L11" s="17" t="s">
        <v>128</v>
      </c>
      <c r="M11" s="17" t="s">
        <v>129</v>
      </c>
      <c r="N11" s="17" t="s">
        <v>130</v>
      </c>
      <c r="O11" s="17" t="s">
        <v>131</v>
      </c>
      <c r="P11" s="17" t="s">
        <v>132</v>
      </c>
      <c r="Q11" s="17" t="s">
        <v>133</v>
      </c>
      <c r="R11" s="16" t="s">
        <v>65</v>
      </c>
      <c r="S11" s="16"/>
      <c r="T11" s="19" t="s">
        <v>134</v>
      </c>
      <c r="U11" s="19" t="s">
        <v>67</v>
      </c>
    </row>
    <row r="12" customFormat="false" ht="96" hidden="false" customHeight="true" outlineLevel="0" collapsed="false">
      <c r="A12" s="16" t="n">
        <v>8</v>
      </c>
      <c r="B12" s="16" t="s">
        <v>135</v>
      </c>
      <c r="C12" s="17" t="s">
        <v>136</v>
      </c>
      <c r="D12" s="17" t="s">
        <v>137</v>
      </c>
      <c r="E12" s="16" t="n">
        <v>2026</v>
      </c>
      <c r="F12" s="17" t="s">
        <v>138</v>
      </c>
      <c r="G12" s="16" t="s">
        <v>84</v>
      </c>
      <c r="H12" s="20" t="s">
        <v>25</v>
      </c>
      <c r="I12" s="17" t="s">
        <v>72</v>
      </c>
      <c r="J12" s="17" t="s">
        <v>73</v>
      </c>
      <c r="K12" s="17" t="s">
        <v>73</v>
      </c>
      <c r="L12" s="17" t="s">
        <v>139</v>
      </c>
      <c r="M12" s="17" t="s">
        <v>140</v>
      </c>
      <c r="N12" s="17" t="s">
        <v>76</v>
      </c>
      <c r="O12" s="17" t="s">
        <v>76</v>
      </c>
      <c r="P12" s="17" t="s">
        <v>141</v>
      </c>
      <c r="Q12" s="17" t="s">
        <v>142</v>
      </c>
      <c r="R12" s="16" t="s">
        <v>65</v>
      </c>
      <c r="S12" s="16"/>
      <c r="T12" s="19" t="s">
        <v>143</v>
      </c>
      <c r="U12" s="19" t="s">
        <v>67</v>
      </c>
    </row>
  </sheetData>
  <autoFilter ref="A4:U12"/>
  <hyperlinks>
    <hyperlink ref="T5" r:id="rId1" display="https://arxiv.org/abs/2605.03857"/>
    <hyperlink ref="U5" r:id="rId2" display="Search"/>
    <hyperlink ref="T6" r:id="rId3" display="https://arxiv.org/abs/2608.04314"/>
    <hyperlink ref="U6" r:id="rId4" display="Search"/>
    <hyperlink ref="T7" r:id="rId5" display="https://arxiv.org/abs/2504.18015"/>
    <hyperlink ref="U7" r:id="rId6" display="Search"/>
    <hyperlink ref="S8" r:id="rId7" display="https://arxiv.org/abs/2603.13121"/>
    <hyperlink ref="T8" r:id="rId8" display="https://arxiv.org/abs/2603.13121"/>
    <hyperlink ref="U8" r:id="rId9" display="Search"/>
    <hyperlink ref="T9" r:id="rId10" display="https://arxiv.org/abs/2607.25926"/>
    <hyperlink ref="U9" r:id="rId11" display="Search"/>
    <hyperlink ref="T10" r:id="rId12" display="https://arxiv.org/abs/2602.02914"/>
    <hyperlink ref="U10" r:id="rId13" display="Search"/>
    <hyperlink ref="T11" r:id="rId14" display="https://arxiv.org/abs/2606.17606"/>
    <hyperlink ref="U11" r:id="rId15" display="Search"/>
    <hyperlink ref="T12" r:id="rId16" display="https://arxiv.org/abs/2412.15228"/>
    <hyperlink ref="U12" r:id="rId1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15</v>
      </c>
    </row>
    <row r="2" customFormat="false" ht="15" hidden="false" customHeight="false" outlineLevel="0" collapsed="false">
      <c r="A2" s="14" t="s">
        <v>2708</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589</v>
      </c>
      <c r="C5" s="17" t="s">
        <v>590</v>
      </c>
      <c r="D5" s="17" t="s">
        <v>591</v>
      </c>
      <c r="E5" s="16" t="n">
        <v>2024</v>
      </c>
      <c r="F5" s="17" t="s">
        <v>209</v>
      </c>
      <c r="G5" s="16" t="s">
        <v>199</v>
      </c>
      <c r="H5" s="24" t="s">
        <v>15</v>
      </c>
      <c r="I5" s="17" t="s">
        <v>592</v>
      </c>
      <c r="J5" s="17" t="s">
        <v>593</v>
      </c>
      <c r="K5" s="17" t="s">
        <v>594</v>
      </c>
      <c r="L5" s="17" t="s">
        <v>595</v>
      </c>
      <c r="M5" s="17" t="s">
        <v>596</v>
      </c>
      <c r="N5" s="17" t="s">
        <v>597</v>
      </c>
      <c r="O5" s="17" t="s">
        <v>334</v>
      </c>
      <c r="P5" s="17" t="s">
        <v>598</v>
      </c>
      <c r="Q5" s="17" t="s">
        <v>599</v>
      </c>
      <c r="R5" s="16" t="s">
        <v>103</v>
      </c>
      <c r="S5" s="19" t="s">
        <v>600</v>
      </c>
      <c r="T5" s="19" t="s">
        <v>601</v>
      </c>
      <c r="U5" s="19" t="s">
        <v>67</v>
      </c>
    </row>
    <row r="6" customFormat="false" ht="96" hidden="false" customHeight="true" outlineLevel="0" collapsed="false">
      <c r="A6" s="16" t="n">
        <v>2</v>
      </c>
      <c r="B6" s="16" t="s">
        <v>710</v>
      </c>
      <c r="C6" s="17" t="s">
        <v>711</v>
      </c>
      <c r="D6" s="17" t="s">
        <v>712</v>
      </c>
      <c r="E6" s="16" t="n">
        <v>2023</v>
      </c>
      <c r="F6" s="17" t="s">
        <v>83</v>
      </c>
      <c r="G6" s="16" t="s">
        <v>84</v>
      </c>
      <c r="H6" s="24" t="s">
        <v>15</v>
      </c>
      <c r="I6" s="17" t="s">
        <v>592</v>
      </c>
      <c r="J6" s="17" t="s">
        <v>713</v>
      </c>
      <c r="K6" s="17" t="s">
        <v>73</v>
      </c>
      <c r="L6" s="17" t="s">
        <v>714</v>
      </c>
      <c r="M6" s="17" t="s">
        <v>715</v>
      </c>
      <c r="N6" s="17" t="s">
        <v>716</v>
      </c>
      <c r="O6" s="17" t="s">
        <v>76</v>
      </c>
      <c r="P6" s="17" t="s">
        <v>717</v>
      </c>
      <c r="Q6" s="17" t="s">
        <v>718</v>
      </c>
      <c r="R6" s="16" t="s">
        <v>65</v>
      </c>
      <c r="S6" s="16"/>
      <c r="T6" s="19" t="s">
        <v>719</v>
      </c>
      <c r="U6" s="19" t="s">
        <v>67</v>
      </c>
    </row>
    <row r="7" customFormat="false" ht="96" hidden="false" customHeight="true" outlineLevel="0" collapsed="false">
      <c r="A7" s="16" t="n">
        <v>3</v>
      </c>
      <c r="B7" s="16" t="s">
        <v>1005</v>
      </c>
      <c r="C7" s="17" t="s">
        <v>1006</v>
      </c>
      <c r="D7" s="17" t="s">
        <v>1007</v>
      </c>
      <c r="E7" s="16" t="n">
        <v>2023</v>
      </c>
      <c r="F7" s="17" t="s">
        <v>661</v>
      </c>
      <c r="G7" s="16" t="s">
        <v>199</v>
      </c>
      <c r="H7" s="24" t="s">
        <v>15</v>
      </c>
      <c r="I7" s="17" t="s">
        <v>592</v>
      </c>
      <c r="J7" s="17" t="s">
        <v>593</v>
      </c>
      <c r="K7" s="17" t="s">
        <v>1008</v>
      </c>
      <c r="L7" s="17" t="s">
        <v>1009</v>
      </c>
      <c r="M7" s="17" t="s">
        <v>1010</v>
      </c>
      <c r="N7" s="17" t="s">
        <v>1011</v>
      </c>
      <c r="O7" s="17" t="s">
        <v>334</v>
      </c>
      <c r="P7" s="17" t="s">
        <v>1012</v>
      </c>
      <c r="Q7" s="17" t="s">
        <v>1013</v>
      </c>
      <c r="R7" s="16" t="s">
        <v>103</v>
      </c>
      <c r="S7" s="19" t="s">
        <v>600</v>
      </c>
      <c r="T7" s="19" t="s">
        <v>1014</v>
      </c>
      <c r="U7" s="19" t="s">
        <v>67</v>
      </c>
    </row>
    <row r="8" customFormat="false" ht="96" hidden="false" customHeight="true" outlineLevel="0" collapsed="false">
      <c r="A8" s="16" t="n">
        <v>4</v>
      </c>
      <c r="B8" s="16" t="s">
        <v>1205</v>
      </c>
      <c r="C8" s="17" t="s">
        <v>1206</v>
      </c>
      <c r="D8" s="17" t="s">
        <v>1207</v>
      </c>
      <c r="E8" s="16" t="n">
        <v>2022</v>
      </c>
      <c r="F8" s="17" t="s">
        <v>1208</v>
      </c>
      <c r="G8" s="16" t="s">
        <v>84</v>
      </c>
      <c r="H8" s="24" t="s">
        <v>15</v>
      </c>
      <c r="I8" s="17" t="s">
        <v>592</v>
      </c>
      <c r="J8" s="17" t="s">
        <v>1209</v>
      </c>
      <c r="K8" s="17" t="s">
        <v>1210</v>
      </c>
      <c r="L8" s="17" t="s">
        <v>1211</v>
      </c>
      <c r="M8" s="17" t="s">
        <v>1212</v>
      </c>
      <c r="N8" s="17" t="s">
        <v>1213</v>
      </c>
      <c r="O8" s="17" t="s">
        <v>1214</v>
      </c>
      <c r="P8" s="17" t="s">
        <v>1215</v>
      </c>
      <c r="Q8" s="17" t="s">
        <v>1216</v>
      </c>
      <c r="R8" s="16" t="s">
        <v>65</v>
      </c>
      <c r="S8" s="16"/>
      <c r="T8" s="19" t="s">
        <v>1217</v>
      </c>
      <c r="U8" s="19" t="s">
        <v>67</v>
      </c>
    </row>
    <row r="9" customFormat="false" ht="96" hidden="false" customHeight="true" outlineLevel="0" collapsed="false">
      <c r="A9" s="16" t="n">
        <v>5</v>
      </c>
      <c r="B9" s="16" t="s">
        <v>1231</v>
      </c>
      <c r="C9" s="17" t="s">
        <v>1232</v>
      </c>
      <c r="D9" s="17" t="s">
        <v>1233</v>
      </c>
      <c r="E9" s="16" t="n">
        <v>2022</v>
      </c>
      <c r="F9" s="17" t="s">
        <v>198</v>
      </c>
      <c r="G9" s="16" t="s">
        <v>199</v>
      </c>
      <c r="H9" s="24" t="s">
        <v>15</v>
      </c>
      <c r="I9" s="17" t="s">
        <v>592</v>
      </c>
      <c r="J9" s="17" t="s">
        <v>593</v>
      </c>
      <c r="K9" s="17" t="s">
        <v>1234</v>
      </c>
      <c r="L9" s="17" t="s">
        <v>1235</v>
      </c>
      <c r="M9" s="17" t="s">
        <v>1236</v>
      </c>
      <c r="N9" s="17" t="s">
        <v>1237</v>
      </c>
      <c r="O9" s="17" t="s">
        <v>334</v>
      </c>
      <c r="P9" s="17" t="s">
        <v>1238</v>
      </c>
      <c r="Q9" s="17" t="s">
        <v>1239</v>
      </c>
      <c r="R9" s="16" t="s">
        <v>103</v>
      </c>
      <c r="S9" s="19" t="s">
        <v>600</v>
      </c>
      <c r="T9" s="19" t="s">
        <v>1240</v>
      </c>
      <c r="U9" s="19" t="s">
        <v>67</v>
      </c>
    </row>
    <row r="10" customFormat="false" ht="96" hidden="false" customHeight="true" outlineLevel="0" collapsed="false">
      <c r="A10" s="16" t="n">
        <v>6</v>
      </c>
      <c r="B10" s="16" t="s">
        <v>1262</v>
      </c>
      <c r="C10" s="17" t="s">
        <v>1263</v>
      </c>
      <c r="D10" s="17" t="s">
        <v>1264</v>
      </c>
      <c r="E10" s="16" t="n">
        <v>2022</v>
      </c>
      <c r="F10" s="17" t="s">
        <v>1163</v>
      </c>
      <c r="G10" s="16" t="s">
        <v>1164</v>
      </c>
      <c r="H10" s="24" t="s">
        <v>15</v>
      </c>
      <c r="I10" s="17" t="s">
        <v>592</v>
      </c>
      <c r="J10" s="17" t="s">
        <v>1265</v>
      </c>
      <c r="K10" s="17" t="s">
        <v>1266</v>
      </c>
      <c r="L10" s="17" t="s">
        <v>1267</v>
      </c>
      <c r="M10" s="17" t="s">
        <v>1268</v>
      </c>
      <c r="N10" s="17" t="s">
        <v>1269</v>
      </c>
      <c r="O10" s="17" t="s">
        <v>1270</v>
      </c>
      <c r="P10" s="17" t="s">
        <v>1271</v>
      </c>
      <c r="Q10" s="17" t="s">
        <v>1272</v>
      </c>
      <c r="R10" s="16" t="s">
        <v>103</v>
      </c>
      <c r="S10" s="19" t="s">
        <v>1273</v>
      </c>
      <c r="T10" s="19" t="s">
        <v>1274</v>
      </c>
      <c r="U10" s="19" t="s">
        <v>67</v>
      </c>
    </row>
    <row r="11" customFormat="false" ht="96" hidden="false" customHeight="true" outlineLevel="0" collapsed="false">
      <c r="A11" s="16" t="n">
        <v>7</v>
      </c>
      <c r="B11" s="16" t="s">
        <v>1275</v>
      </c>
      <c r="C11" s="17" t="s">
        <v>1276</v>
      </c>
      <c r="D11" s="17" t="s">
        <v>641</v>
      </c>
      <c r="E11" s="16" t="n">
        <v>2022</v>
      </c>
      <c r="F11" s="17" t="s">
        <v>1277</v>
      </c>
      <c r="G11" s="16" t="s">
        <v>1164</v>
      </c>
      <c r="H11" s="24" t="s">
        <v>15</v>
      </c>
      <c r="I11" s="17" t="s">
        <v>592</v>
      </c>
      <c r="J11" s="17" t="s">
        <v>57</v>
      </c>
      <c r="K11" s="17" t="s">
        <v>1278</v>
      </c>
      <c r="L11" s="17" t="s">
        <v>1279</v>
      </c>
      <c r="M11" s="17" t="s">
        <v>1280</v>
      </c>
      <c r="N11" s="17" t="s">
        <v>1281</v>
      </c>
      <c r="O11" s="17" t="s">
        <v>1282</v>
      </c>
      <c r="P11" s="17" t="s">
        <v>1283</v>
      </c>
      <c r="Q11" s="17" t="s">
        <v>1284</v>
      </c>
      <c r="R11" s="16" t="s">
        <v>65</v>
      </c>
      <c r="S11" s="16"/>
      <c r="T11" s="19" t="s">
        <v>1285</v>
      </c>
      <c r="U11" s="19" t="s">
        <v>67</v>
      </c>
    </row>
    <row r="12" customFormat="false" ht="96" hidden="false" customHeight="true" outlineLevel="0" collapsed="false">
      <c r="A12" s="16" t="n">
        <v>8</v>
      </c>
      <c r="B12" s="16" t="s">
        <v>1286</v>
      </c>
      <c r="C12" s="17" t="s">
        <v>1287</v>
      </c>
      <c r="D12" s="17" t="s">
        <v>1288</v>
      </c>
      <c r="E12" s="16" t="n">
        <v>2022</v>
      </c>
      <c r="F12" s="17" t="s">
        <v>1289</v>
      </c>
      <c r="G12" s="16" t="s">
        <v>162</v>
      </c>
      <c r="H12" s="24" t="s">
        <v>15</v>
      </c>
      <c r="I12" s="17" t="s">
        <v>592</v>
      </c>
      <c r="J12" s="17" t="s">
        <v>1290</v>
      </c>
      <c r="K12" s="17" t="s">
        <v>1109</v>
      </c>
      <c r="L12" s="17" t="s">
        <v>1291</v>
      </c>
      <c r="M12" s="17" t="s">
        <v>1292</v>
      </c>
      <c r="N12" s="17" t="s">
        <v>1293</v>
      </c>
      <c r="O12" s="17" t="s">
        <v>76</v>
      </c>
      <c r="P12" s="17" t="s">
        <v>1294</v>
      </c>
      <c r="Q12" s="17" t="s">
        <v>1295</v>
      </c>
      <c r="R12" s="16" t="s">
        <v>65</v>
      </c>
      <c r="S12" s="16"/>
      <c r="T12" s="19" t="s">
        <v>1296</v>
      </c>
      <c r="U12" s="19" t="s">
        <v>67</v>
      </c>
    </row>
    <row r="13" customFormat="false" ht="96" hidden="false" customHeight="true" outlineLevel="0" collapsed="false">
      <c r="A13" s="16" t="n">
        <v>9</v>
      </c>
      <c r="B13" s="16" t="s">
        <v>1322</v>
      </c>
      <c r="C13" s="17" t="s">
        <v>1323</v>
      </c>
      <c r="D13" s="17" t="s">
        <v>1324</v>
      </c>
      <c r="E13" s="16" t="n">
        <v>2022</v>
      </c>
      <c r="F13" s="17" t="s">
        <v>388</v>
      </c>
      <c r="G13" s="16" t="s">
        <v>148</v>
      </c>
      <c r="H13" s="24" t="s">
        <v>15</v>
      </c>
      <c r="I13" s="17" t="s">
        <v>592</v>
      </c>
      <c r="J13" s="17" t="s">
        <v>1325</v>
      </c>
      <c r="K13" s="17" t="s">
        <v>1326</v>
      </c>
      <c r="L13" s="17" t="s">
        <v>1327</v>
      </c>
      <c r="M13" s="17" t="s">
        <v>1328</v>
      </c>
      <c r="N13" s="17" t="s">
        <v>1329</v>
      </c>
      <c r="O13" s="17" t="s">
        <v>334</v>
      </c>
      <c r="P13" s="17" t="s">
        <v>1330</v>
      </c>
      <c r="Q13" s="17" t="s">
        <v>1331</v>
      </c>
      <c r="R13" s="16" t="s">
        <v>65</v>
      </c>
      <c r="S13" s="16"/>
      <c r="T13" s="19" t="s">
        <v>1332</v>
      </c>
      <c r="U13" s="19" t="s">
        <v>67</v>
      </c>
    </row>
    <row r="14" customFormat="false" ht="96" hidden="false" customHeight="true" outlineLevel="0" collapsed="false">
      <c r="A14" s="16" t="n">
        <v>10</v>
      </c>
      <c r="B14" s="16" t="s">
        <v>1333</v>
      </c>
      <c r="C14" s="17" t="s">
        <v>1334</v>
      </c>
      <c r="D14" s="17" t="s">
        <v>1335</v>
      </c>
      <c r="E14" s="16" t="n">
        <v>2022</v>
      </c>
      <c r="F14" s="17" t="s">
        <v>350</v>
      </c>
      <c r="G14" s="16" t="s">
        <v>199</v>
      </c>
      <c r="H14" s="24" t="s">
        <v>15</v>
      </c>
      <c r="I14" s="17" t="s">
        <v>592</v>
      </c>
      <c r="J14" s="17" t="s">
        <v>1325</v>
      </c>
      <c r="K14" s="17" t="s">
        <v>1336</v>
      </c>
      <c r="L14" s="17" t="s">
        <v>1337</v>
      </c>
      <c r="M14" s="17" t="s">
        <v>1338</v>
      </c>
      <c r="N14" s="17" t="s">
        <v>1339</v>
      </c>
      <c r="O14" s="17" t="s">
        <v>334</v>
      </c>
      <c r="P14" s="17" t="s">
        <v>1340</v>
      </c>
      <c r="Q14" s="17" t="s">
        <v>1341</v>
      </c>
      <c r="R14" s="16" t="s">
        <v>103</v>
      </c>
      <c r="S14" s="19" t="s">
        <v>600</v>
      </c>
      <c r="T14" s="19" t="s">
        <v>1342</v>
      </c>
      <c r="U14" s="19" t="s">
        <v>67</v>
      </c>
    </row>
    <row r="15" customFormat="false" ht="96" hidden="false" customHeight="true" outlineLevel="0" collapsed="false">
      <c r="A15" s="16" t="n">
        <v>11</v>
      </c>
      <c r="B15" s="16" t="s">
        <v>1379</v>
      </c>
      <c r="C15" s="17" t="s">
        <v>1380</v>
      </c>
      <c r="D15" s="17" t="s">
        <v>712</v>
      </c>
      <c r="E15" s="16" t="n">
        <v>2022</v>
      </c>
      <c r="F15" s="17" t="s">
        <v>1163</v>
      </c>
      <c r="G15" s="16" t="s">
        <v>1164</v>
      </c>
      <c r="H15" s="24" t="s">
        <v>15</v>
      </c>
      <c r="I15" s="17" t="s">
        <v>592</v>
      </c>
      <c r="J15" s="17" t="s">
        <v>57</v>
      </c>
      <c r="K15" s="17" t="s">
        <v>1381</v>
      </c>
      <c r="L15" s="17" t="s">
        <v>1382</v>
      </c>
      <c r="M15" s="17" t="s">
        <v>1383</v>
      </c>
      <c r="N15" s="17" t="s">
        <v>1384</v>
      </c>
      <c r="O15" s="17" t="s">
        <v>1385</v>
      </c>
      <c r="P15" s="17" t="s">
        <v>1386</v>
      </c>
      <c r="Q15" s="17" t="s">
        <v>1387</v>
      </c>
      <c r="R15" s="16" t="s">
        <v>103</v>
      </c>
      <c r="S15" s="19" t="s">
        <v>1388</v>
      </c>
      <c r="T15" s="19" t="s">
        <v>1389</v>
      </c>
      <c r="U15" s="19" t="s">
        <v>67</v>
      </c>
    </row>
    <row r="16" customFormat="false" ht="96" hidden="false" customHeight="true" outlineLevel="0" collapsed="false">
      <c r="A16" s="16" t="n">
        <v>12</v>
      </c>
      <c r="B16" s="16" t="s">
        <v>1515</v>
      </c>
      <c r="C16" s="17" t="s">
        <v>1516</v>
      </c>
      <c r="D16" s="17" t="s">
        <v>1517</v>
      </c>
      <c r="E16" s="16" t="n">
        <v>2021</v>
      </c>
      <c r="F16" s="17" t="s">
        <v>209</v>
      </c>
      <c r="G16" s="16" t="s">
        <v>199</v>
      </c>
      <c r="H16" s="24" t="s">
        <v>15</v>
      </c>
      <c r="I16" s="17" t="s">
        <v>592</v>
      </c>
      <c r="J16" s="17" t="s">
        <v>1518</v>
      </c>
      <c r="K16" s="17" t="s">
        <v>1519</v>
      </c>
      <c r="L16" s="17" t="s">
        <v>1520</v>
      </c>
      <c r="M16" s="17" t="s">
        <v>1521</v>
      </c>
      <c r="N16" s="17" t="s">
        <v>1213</v>
      </c>
      <c r="O16" s="17" t="s">
        <v>1385</v>
      </c>
      <c r="P16" s="17" t="s">
        <v>1522</v>
      </c>
      <c r="Q16" s="17" t="s">
        <v>1523</v>
      </c>
      <c r="R16" s="16" t="s">
        <v>65</v>
      </c>
      <c r="S16" s="16"/>
      <c r="T16" s="19" t="s">
        <v>1524</v>
      </c>
      <c r="U16" s="19" t="s">
        <v>67</v>
      </c>
    </row>
    <row r="17" customFormat="false" ht="96" hidden="false" customHeight="true" outlineLevel="0" collapsed="false">
      <c r="A17" s="16" t="n">
        <v>13</v>
      </c>
      <c r="B17" s="16" t="s">
        <v>1750</v>
      </c>
      <c r="C17" s="17" t="s">
        <v>1751</v>
      </c>
      <c r="D17" s="17" t="s">
        <v>1752</v>
      </c>
      <c r="E17" s="16" t="n">
        <v>2020</v>
      </c>
      <c r="F17" s="17" t="s">
        <v>1753</v>
      </c>
      <c r="G17" s="16" t="s">
        <v>1164</v>
      </c>
      <c r="H17" s="24" t="s">
        <v>15</v>
      </c>
      <c r="I17" s="17" t="s">
        <v>592</v>
      </c>
      <c r="J17" s="17" t="s">
        <v>1209</v>
      </c>
      <c r="K17" s="17" t="s">
        <v>1754</v>
      </c>
      <c r="L17" s="17" t="s">
        <v>1755</v>
      </c>
      <c r="M17" s="17" t="s">
        <v>1756</v>
      </c>
      <c r="N17" s="17" t="s">
        <v>1757</v>
      </c>
      <c r="O17" s="17" t="s">
        <v>1758</v>
      </c>
      <c r="P17" s="17" t="s">
        <v>1759</v>
      </c>
      <c r="Q17" s="17" t="s">
        <v>1760</v>
      </c>
      <c r="R17" s="16" t="s">
        <v>65</v>
      </c>
      <c r="S17" s="16"/>
      <c r="T17" s="19" t="s">
        <v>1761</v>
      </c>
      <c r="U17" s="19" t="s">
        <v>67</v>
      </c>
    </row>
    <row r="18" customFormat="false" ht="96" hidden="false" customHeight="true" outlineLevel="0" collapsed="false">
      <c r="A18" s="16" t="n">
        <v>14</v>
      </c>
      <c r="B18" s="16" t="s">
        <v>2090</v>
      </c>
      <c r="C18" s="17" t="s">
        <v>2091</v>
      </c>
      <c r="D18" s="17" t="s">
        <v>2092</v>
      </c>
      <c r="E18" s="16" t="n">
        <v>2018</v>
      </c>
      <c r="F18" s="17" t="s">
        <v>237</v>
      </c>
      <c r="G18" s="16" t="s">
        <v>199</v>
      </c>
      <c r="H18" s="24" t="s">
        <v>15</v>
      </c>
      <c r="I18" s="17" t="s">
        <v>592</v>
      </c>
      <c r="J18" s="17" t="s">
        <v>2093</v>
      </c>
      <c r="K18" s="17" t="s">
        <v>2094</v>
      </c>
      <c r="L18" s="17" t="s">
        <v>2095</v>
      </c>
      <c r="M18" s="17" t="s">
        <v>2096</v>
      </c>
      <c r="N18" s="17" t="s">
        <v>1213</v>
      </c>
      <c r="O18" s="17" t="s">
        <v>1282</v>
      </c>
      <c r="P18" s="17" t="s">
        <v>2097</v>
      </c>
      <c r="Q18" s="17" t="s">
        <v>2098</v>
      </c>
      <c r="R18" s="16" t="s">
        <v>65</v>
      </c>
      <c r="S18" s="16"/>
      <c r="T18" s="19" t="s">
        <v>2099</v>
      </c>
      <c r="U18" s="19" t="s">
        <v>67</v>
      </c>
    </row>
    <row r="19" customFormat="false" ht="96" hidden="false" customHeight="true" outlineLevel="0" collapsed="false">
      <c r="A19" s="16" t="n">
        <v>15</v>
      </c>
      <c r="B19" s="16" t="s">
        <v>2112</v>
      </c>
      <c r="C19" s="17" t="s">
        <v>2113</v>
      </c>
      <c r="D19" s="17" t="s">
        <v>2114</v>
      </c>
      <c r="E19" s="16" t="n">
        <v>2018</v>
      </c>
      <c r="F19" s="17" t="s">
        <v>83</v>
      </c>
      <c r="G19" s="16" t="s">
        <v>84</v>
      </c>
      <c r="H19" s="24" t="s">
        <v>15</v>
      </c>
      <c r="I19" s="17" t="s">
        <v>592</v>
      </c>
      <c r="J19" s="17" t="s">
        <v>2115</v>
      </c>
      <c r="K19" s="17" t="s">
        <v>2116</v>
      </c>
      <c r="L19" s="17" t="s">
        <v>2117</v>
      </c>
      <c r="M19" s="17" t="s">
        <v>2118</v>
      </c>
      <c r="N19" s="17" t="s">
        <v>2119</v>
      </c>
      <c r="O19" s="17" t="s">
        <v>2120</v>
      </c>
      <c r="P19" s="17" t="s">
        <v>2121</v>
      </c>
      <c r="Q19" s="17" t="s">
        <v>2122</v>
      </c>
      <c r="R19" s="16" t="s">
        <v>65</v>
      </c>
      <c r="S19" s="16"/>
      <c r="T19" s="19" t="s">
        <v>2123</v>
      </c>
      <c r="U19" s="19" t="s">
        <v>67</v>
      </c>
    </row>
    <row r="20" customFormat="false" ht="96" hidden="false" customHeight="true" outlineLevel="0" collapsed="false">
      <c r="A20" s="16" t="n">
        <v>16</v>
      </c>
      <c r="B20" s="16" t="s">
        <v>2170</v>
      </c>
      <c r="C20" s="17" t="s">
        <v>2171</v>
      </c>
      <c r="D20" s="17" t="s">
        <v>2172</v>
      </c>
      <c r="E20" s="16" t="n">
        <v>2018</v>
      </c>
      <c r="F20" s="17" t="s">
        <v>2173</v>
      </c>
      <c r="G20" s="16" t="s">
        <v>1164</v>
      </c>
      <c r="H20" s="24" t="s">
        <v>15</v>
      </c>
      <c r="I20" s="17" t="s">
        <v>592</v>
      </c>
      <c r="J20" s="17" t="s">
        <v>2174</v>
      </c>
      <c r="K20" s="17" t="s">
        <v>2175</v>
      </c>
      <c r="L20" s="17" t="s">
        <v>2176</v>
      </c>
      <c r="M20" s="17" t="s">
        <v>2177</v>
      </c>
      <c r="N20" s="17" t="s">
        <v>2178</v>
      </c>
      <c r="O20" s="17" t="s">
        <v>2179</v>
      </c>
      <c r="P20" s="17" t="s">
        <v>2180</v>
      </c>
      <c r="Q20" s="17" t="s">
        <v>2181</v>
      </c>
      <c r="R20" s="16" t="s">
        <v>103</v>
      </c>
      <c r="S20" s="19" t="s">
        <v>2182</v>
      </c>
      <c r="T20" s="19" t="s">
        <v>2183</v>
      </c>
      <c r="U20" s="19" t="s">
        <v>67</v>
      </c>
    </row>
    <row r="21" customFormat="false" ht="96" hidden="false" customHeight="true" outlineLevel="0" collapsed="false">
      <c r="A21" s="16" t="n">
        <v>17</v>
      </c>
      <c r="B21" s="16" t="s">
        <v>2314</v>
      </c>
      <c r="C21" s="17" t="s">
        <v>2315</v>
      </c>
      <c r="D21" s="17" t="s">
        <v>2316</v>
      </c>
      <c r="E21" s="16" t="n">
        <v>2016</v>
      </c>
      <c r="F21" s="17" t="s">
        <v>237</v>
      </c>
      <c r="G21" s="16" t="s">
        <v>199</v>
      </c>
      <c r="H21" s="24" t="s">
        <v>15</v>
      </c>
      <c r="I21" s="17" t="s">
        <v>592</v>
      </c>
      <c r="J21" s="17" t="s">
        <v>2317</v>
      </c>
      <c r="K21" s="17" t="s">
        <v>2318</v>
      </c>
      <c r="L21" s="17" t="s">
        <v>2319</v>
      </c>
      <c r="M21" s="17" t="s">
        <v>2320</v>
      </c>
      <c r="N21" s="17" t="s">
        <v>2321</v>
      </c>
      <c r="O21" s="17" t="s">
        <v>1282</v>
      </c>
      <c r="P21" s="17" t="s">
        <v>2322</v>
      </c>
      <c r="Q21" s="17" t="s">
        <v>2323</v>
      </c>
      <c r="R21" s="16" t="s">
        <v>65</v>
      </c>
      <c r="S21" s="16"/>
      <c r="T21" s="19" t="s">
        <v>2324</v>
      </c>
      <c r="U21" s="19" t="s">
        <v>67</v>
      </c>
    </row>
    <row r="22" customFormat="false" ht="96" hidden="false" customHeight="true" outlineLevel="0" collapsed="false">
      <c r="A22" s="16" t="n">
        <v>18</v>
      </c>
      <c r="B22" s="16" t="s">
        <v>2379</v>
      </c>
      <c r="C22" s="17" t="s">
        <v>2380</v>
      </c>
      <c r="D22" s="17" t="s">
        <v>2381</v>
      </c>
      <c r="E22" s="16" t="n">
        <v>2015</v>
      </c>
      <c r="F22" s="17" t="s">
        <v>2382</v>
      </c>
      <c r="G22" s="16" t="s">
        <v>84</v>
      </c>
      <c r="H22" s="24" t="s">
        <v>15</v>
      </c>
      <c r="I22" s="17" t="s">
        <v>592</v>
      </c>
      <c r="J22" s="17" t="s">
        <v>713</v>
      </c>
      <c r="K22" s="17" t="s">
        <v>73</v>
      </c>
      <c r="L22" s="17" t="s">
        <v>2383</v>
      </c>
      <c r="M22" s="17" t="s">
        <v>2384</v>
      </c>
      <c r="N22" s="17" t="s">
        <v>2385</v>
      </c>
      <c r="O22" s="17" t="s">
        <v>2386</v>
      </c>
      <c r="P22" s="17" t="s">
        <v>2387</v>
      </c>
      <c r="Q22" s="17" t="s">
        <v>2388</v>
      </c>
      <c r="R22" s="16" t="s">
        <v>65</v>
      </c>
      <c r="S22" s="16"/>
      <c r="T22" s="19" t="s">
        <v>2389</v>
      </c>
      <c r="U22" s="19" t="s">
        <v>67</v>
      </c>
    </row>
    <row r="23" customFormat="false" ht="96" hidden="false" customHeight="true" outlineLevel="0" collapsed="false">
      <c r="A23" s="16" t="n">
        <v>19</v>
      </c>
      <c r="B23" s="16" t="s">
        <v>2473</v>
      </c>
      <c r="C23" s="17" t="s">
        <v>2474</v>
      </c>
      <c r="D23" s="17" t="s">
        <v>2475</v>
      </c>
      <c r="E23" s="16" t="n">
        <v>2010</v>
      </c>
      <c r="F23" s="17" t="s">
        <v>557</v>
      </c>
      <c r="G23" s="16" t="s">
        <v>446</v>
      </c>
      <c r="H23" s="24" t="s">
        <v>15</v>
      </c>
      <c r="I23" s="17" t="s">
        <v>592</v>
      </c>
      <c r="J23" s="17" t="s">
        <v>2476</v>
      </c>
      <c r="K23" s="17" t="s">
        <v>2477</v>
      </c>
      <c r="L23" s="17" t="s">
        <v>2478</v>
      </c>
      <c r="M23" s="17" t="s">
        <v>2479</v>
      </c>
      <c r="N23" s="17" t="s">
        <v>2480</v>
      </c>
      <c r="O23" s="17" t="s">
        <v>2481</v>
      </c>
      <c r="P23" s="17" t="s">
        <v>2482</v>
      </c>
      <c r="Q23" s="17" t="s">
        <v>2483</v>
      </c>
      <c r="R23" s="16" t="s">
        <v>65</v>
      </c>
      <c r="S23" s="16"/>
      <c r="T23" s="19" t="s">
        <v>2484</v>
      </c>
      <c r="U23" s="19" t="s">
        <v>67</v>
      </c>
    </row>
    <row r="24" customFormat="false" ht="96" hidden="false" customHeight="true" outlineLevel="0" collapsed="false">
      <c r="A24" s="16" t="n">
        <v>20</v>
      </c>
      <c r="B24" s="16" t="s">
        <v>2485</v>
      </c>
      <c r="C24" s="17" t="s">
        <v>2486</v>
      </c>
      <c r="D24" s="17" t="s">
        <v>2487</v>
      </c>
      <c r="E24" s="16" t="n">
        <v>2009</v>
      </c>
      <c r="F24" s="17" t="s">
        <v>2488</v>
      </c>
      <c r="G24" s="16" t="s">
        <v>446</v>
      </c>
      <c r="H24" s="24" t="s">
        <v>15</v>
      </c>
      <c r="I24" s="17" t="s">
        <v>592</v>
      </c>
      <c r="J24" s="17" t="s">
        <v>2489</v>
      </c>
      <c r="K24" s="17" t="s">
        <v>2490</v>
      </c>
      <c r="L24" s="17" t="s">
        <v>2491</v>
      </c>
      <c r="M24" s="17" t="s">
        <v>2492</v>
      </c>
      <c r="N24" s="17" t="s">
        <v>2493</v>
      </c>
      <c r="O24" s="17" t="s">
        <v>2494</v>
      </c>
      <c r="P24" s="17" t="s">
        <v>2495</v>
      </c>
      <c r="Q24" s="17" t="s">
        <v>2496</v>
      </c>
      <c r="R24" s="16" t="s">
        <v>65</v>
      </c>
      <c r="S24" s="16"/>
      <c r="T24" s="19" t="s">
        <v>2497</v>
      </c>
      <c r="U24" s="19" t="s">
        <v>67</v>
      </c>
    </row>
    <row r="25" customFormat="false" ht="96" hidden="false" customHeight="true" outlineLevel="0" collapsed="false">
      <c r="A25" s="16" t="n">
        <v>21</v>
      </c>
      <c r="B25" s="16" t="s">
        <v>2522</v>
      </c>
      <c r="C25" s="17" t="s">
        <v>2523</v>
      </c>
      <c r="D25" s="17" t="s">
        <v>2524</v>
      </c>
      <c r="E25" s="16" t="n">
        <v>2009</v>
      </c>
      <c r="F25" s="17" t="s">
        <v>2525</v>
      </c>
      <c r="G25" s="16" t="s">
        <v>446</v>
      </c>
      <c r="H25" s="24" t="s">
        <v>15</v>
      </c>
      <c r="I25" s="17" t="s">
        <v>592</v>
      </c>
      <c r="J25" s="17" t="s">
        <v>2489</v>
      </c>
      <c r="K25" s="17" t="s">
        <v>2526</v>
      </c>
      <c r="L25" s="17" t="s">
        <v>2527</v>
      </c>
      <c r="M25" s="17" t="s">
        <v>2528</v>
      </c>
      <c r="N25" s="17" t="s">
        <v>2529</v>
      </c>
      <c r="O25" s="17" t="s">
        <v>2494</v>
      </c>
      <c r="P25" s="17" t="s">
        <v>2530</v>
      </c>
      <c r="Q25" s="17" t="s">
        <v>2531</v>
      </c>
      <c r="R25" s="16" t="s">
        <v>65</v>
      </c>
      <c r="S25" s="16"/>
      <c r="T25" s="19" t="s">
        <v>2532</v>
      </c>
      <c r="U25" s="19" t="s">
        <v>67</v>
      </c>
    </row>
    <row r="26" customFormat="false" ht="96" hidden="false" customHeight="true" outlineLevel="0" collapsed="false">
      <c r="A26" s="16" t="n">
        <v>22</v>
      </c>
      <c r="B26" s="16" t="s">
        <v>2620</v>
      </c>
      <c r="C26" s="17" t="s">
        <v>2621</v>
      </c>
      <c r="D26" s="17" t="s">
        <v>2622</v>
      </c>
      <c r="E26" s="16" t="n">
        <v>2004</v>
      </c>
      <c r="F26" s="17" t="s">
        <v>2623</v>
      </c>
      <c r="G26" s="16" t="s">
        <v>84</v>
      </c>
      <c r="H26" s="24" t="s">
        <v>15</v>
      </c>
      <c r="I26" s="17" t="s">
        <v>592</v>
      </c>
      <c r="J26" s="17" t="s">
        <v>2624</v>
      </c>
      <c r="K26" s="17" t="s">
        <v>2625</v>
      </c>
      <c r="L26" s="17" t="s">
        <v>2626</v>
      </c>
      <c r="M26" s="17" t="s">
        <v>2627</v>
      </c>
      <c r="N26" s="17" t="s">
        <v>2628</v>
      </c>
      <c r="O26" s="17" t="s">
        <v>2629</v>
      </c>
      <c r="P26" s="17" t="s">
        <v>2630</v>
      </c>
      <c r="Q26" s="17" t="s">
        <v>2631</v>
      </c>
      <c r="R26" s="16" t="s">
        <v>65</v>
      </c>
      <c r="S26" s="16"/>
      <c r="T26" s="19" t="s">
        <v>2632</v>
      </c>
      <c r="U26" s="19" t="s">
        <v>67</v>
      </c>
    </row>
    <row r="27" customFormat="false" ht="96" hidden="false" customHeight="true" outlineLevel="0" collapsed="false">
      <c r="A27" s="16" t="n">
        <v>23</v>
      </c>
      <c r="B27" s="16" t="s">
        <v>2633</v>
      </c>
      <c r="C27" s="17" t="s">
        <v>2634</v>
      </c>
      <c r="D27" s="17" t="s">
        <v>2635</v>
      </c>
      <c r="E27" s="16" t="n">
        <v>2002</v>
      </c>
      <c r="F27" s="17" t="s">
        <v>2636</v>
      </c>
      <c r="G27" s="16" t="s">
        <v>446</v>
      </c>
      <c r="H27" s="24" t="s">
        <v>15</v>
      </c>
      <c r="I27" s="17" t="s">
        <v>592</v>
      </c>
      <c r="J27" s="17" t="s">
        <v>2576</v>
      </c>
      <c r="K27" s="17" t="s">
        <v>2637</v>
      </c>
      <c r="L27" s="17" t="s">
        <v>2638</v>
      </c>
      <c r="M27" s="17" t="s">
        <v>2639</v>
      </c>
      <c r="N27" s="17" t="s">
        <v>1213</v>
      </c>
      <c r="O27" s="17" t="s">
        <v>2640</v>
      </c>
      <c r="P27" s="17" t="s">
        <v>2641</v>
      </c>
      <c r="Q27" s="17" t="s">
        <v>2642</v>
      </c>
      <c r="R27" s="16" t="s">
        <v>65</v>
      </c>
      <c r="S27" s="16"/>
      <c r="T27" s="19" t="s">
        <v>2643</v>
      </c>
      <c r="U27" s="19" t="s">
        <v>67</v>
      </c>
    </row>
    <row r="28" customFormat="false" ht="96" hidden="false" customHeight="true" outlineLevel="0" collapsed="false">
      <c r="A28" s="16" t="n">
        <v>24</v>
      </c>
      <c r="B28" s="16" t="s">
        <v>2644</v>
      </c>
      <c r="C28" s="17" t="s">
        <v>2645</v>
      </c>
      <c r="D28" s="17" t="s">
        <v>2646</v>
      </c>
      <c r="E28" s="16" t="n">
        <v>2001</v>
      </c>
      <c r="F28" s="17" t="s">
        <v>2647</v>
      </c>
      <c r="G28" s="16" t="s">
        <v>84</v>
      </c>
      <c r="H28" s="24" t="s">
        <v>15</v>
      </c>
      <c r="I28" s="17" t="s">
        <v>592</v>
      </c>
      <c r="J28" s="17" t="s">
        <v>2648</v>
      </c>
      <c r="K28" s="17" t="s">
        <v>2649</v>
      </c>
      <c r="L28" s="17" t="s">
        <v>2650</v>
      </c>
      <c r="M28" s="17" t="s">
        <v>2651</v>
      </c>
      <c r="N28" s="17" t="s">
        <v>2652</v>
      </c>
      <c r="O28" s="17" t="s">
        <v>2653</v>
      </c>
      <c r="P28" s="17" t="s">
        <v>2654</v>
      </c>
      <c r="Q28" s="17" t="s">
        <v>2655</v>
      </c>
      <c r="R28" s="16" t="s">
        <v>65</v>
      </c>
      <c r="S28" s="16"/>
      <c r="T28" s="19" t="s">
        <v>2656</v>
      </c>
      <c r="U28" s="19" t="s">
        <v>67</v>
      </c>
    </row>
    <row r="29" customFormat="false" ht="96" hidden="false" customHeight="true" outlineLevel="0" collapsed="false">
      <c r="A29" s="16" t="n">
        <v>25</v>
      </c>
      <c r="B29" s="16" t="s">
        <v>2669</v>
      </c>
      <c r="C29" s="17" t="s">
        <v>2670</v>
      </c>
      <c r="D29" s="17" t="s">
        <v>2671</v>
      </c>
      <c r="E29" s="16" t="n">
        <v>1999</v>
      </c>
      <c r="F29" s="17" t="s">
        <v>2280</v>
      </c>
      <c r="G29" s="16" t="s">
        <v>446</v>
      </c>
      <c r="H29" s="24" t="s">
        <v>15</v>
      </c>
      <c r="I29" s="17" t="s">
        <v>592</v>
      </c>
      <c r="J29" s="17" t="s">
        <v>2576</v>
      </c>
      <c r="K29" s="17" t="s">
        <v>2672</v>
      </c>
      <c r="L29" s="17" t="s">
        <v>2673</v>
      </c>
      <c r="M29" s="17" t="s">
        <v>2674</v>
      </c>
      <c r="N29" s="17" t="s">
        <v>2321</v>
      </c>
      <c r="O29" s="17" t="s">
        <v>2675</v>
      </c>
      <c r="P29" s="17" t="s">
        <v>2676</v>
      </c>
      <c r="Q29" s="17" t="s">
        <v>2677</v>
      </c>
      <c r="R29" s="16" t="s">
        <v>65</v>
      </c>
      <c r="S29" s="16"/>
      <c r="T29" s="19" t="s">
        <v>2678</v>
      </c>
      <c r="U29" s="19" t="s">
        <v>67</v>
      </c>
    </row>
  </sheetData>
  <autoFilter ref="A4:U29"/>
  <hyperlinks>
    <hyperlink ref="S5" r:id="rId1" display="https://github.com/Tencent/TFace"/>
    <hyperlink ref="T5" r:id="rId2" display="https://openaccess.thecvf.com/content/CVPR2024/html/Mi_Privacy-Preserving_Face_Recognition_Using_Trainable_Feature_Subtraction_CVPR_2024_paper.html"/>
    <hyperlink ref="U5" r:id="rId3" display="Search"/>
    <hyperlink ref="T6" r:id="rId4" display="https://arxiv.org/abs/2110.05044"/>
    <hyperlink ref="U6" r:id="rId5" display="Search"/>
    <hyperlink ref="S7" r:id="rId6" display="https://github.com/Tencent/TFace"/>
    <hyperlink ref="T7" r:id="rId7" display="https://arxiv.org/abs/2308.10461"/>
    <hyperlink ref="U7" r:id="rId8" display="Search"/>
    <hyperlink ref="T8" r:id="rId9" display="https://arxiv.org/abs/2102.02458"/>
    <hyperlink ref="U8" r:id="rId10" display="Search"/>
    <hyperlink ref="S9" r:id="rId11" display="https://github.com/Tencent/TFace"/>
    <hyperlink ref="T9" r:id="rId12" display="https://arxiv.org/abs/2207.07340"/>
    <hyperlink ref="U9" r:id="rId13" display="Search"/>
    <hyperlink ref="S10" r:id="rId14" display="https://github.com/human-analysis/hers-encrypted-image-search"/>
    <hyperlink ref="T10" r:id="rId15" display="https://arxiv.org/abs/2003.12197"/>
    <hyperlink ref="U10" r:id="rId16" display="Search"/>
    <hyperlink ref="T11" r:id="rId17" display="https://doi.org/10.1109/IJCB54206.2022.10007960"/>
    <hyperlink ref="U11" r:id="rId18" display="Search"/>
    <hyperlink ref="T12" r:id="rId19" display="https://www.iso.org/standard/75302.html"/>
    <hyperlink ref="U12" r:id="rId20" display="Search"/>
    <hyperlink ref="T13" r:id="rId21" display="https://doi.org/10.1609/aaai.v36i3.20157"/>
    <hyperlink ref="U13" r:id="rId22" display="Search"/>
    <hyperlink ref="S14" r:id="rId23" display="https://github.com/Tencent/TFace"/>
    <hyperlink ref="T14" r:id="rId24" display="https://arxiv.org/abs/2207.07316"/>
    <hyperlink ref="U14" r:id="rId25" display="Search"/>
    <hyperlink ref="S15" r:id="rId26" display="https://technology.idiap.ch/technologies/biometrics/polyprotect/"/>
    <hyperlink ref="T15" r:id="rId27" display="https://arxiv.org/abs/2110.00434"/>
    <hyperlink ref="U15" r:id="rId28" display="Search"/>
    <hyperlink ref="T16" r:id="rId29" display="https://arxiv.org/abs/2104.02239"/>
    <hyperlink ref="U16" r:id="rId30" display="Search"/>
    <hyperlink ref="T17" r:id="rId31" display="https://ieeexplore.ieee.org/document/9210976"/>
    <hyperlink ref="U17" r:id="rId32" display="Search"/>
    <hyperlink ref="T18" r:id="rId33" display="https://doi.org/10.1109/CVPRW.2018.00087"/>
    <hyperlink ref="U18" r:id="rId34" display="Search"/>
    <hyperlink ref="T19" r:id="rId35" display="https://doi.org/10.1109/TIFS.2017.2788000"/>
    <hyperlink ref="U19" r:id="rId36" display="Search"/>
    <hyperlink ref="S20" r:id="rId37" display="https://github.com/human-analysis/secure-face-matching"/>
    <hyperlink ref="T20" r:id="rId38" display="https://arxiv.org/abs/1805.00577"/>
    <hyperlink ref="U20" r:id="rId39" display="Search"/>
    <hyperlink ref="T21" r:id="rId40" display="https://doi.org/10.1109/CVPRW.2016.17"/>
    <hyperlink ref="U21" r:id="rId41" display="Search"/>
    <hyperlink ref="T22" r:id="rId42" display="https://doi.org/10.1109/MSP.2015.2427849"/>
    <hyperlink ref="U22" r:id="rId43" display="Search"/>
    <hyperlink ref="T23" r:id="rId44" display="https://doi.org/10.1109/SP.2010.39"/>
    <hyperlink ref="U23" r:id="rId45" display="Search"/>
    <hyperlink ref="T24" r:id="rId46" display="https://doi.org/10.1007/978-3-642-14423-3_16"/>
    <hyperlink ref="U24" r:id="rId47" display="Search"/>
    <hyperlink ref="T25" r:id="rId48" display="https://doi.org/10.1007/978-3-642-03168-7_14"/>
    <hyperlink ref="U25" r:id="rId49" display="Search"/>
    <hyperlink ref="T26" r:id="rId50" display="https://doi.org/10.1016/j.patcog.2004.04.011"/>
    <hyperlink ref="U26" r:id="rId51" display="Search"/>
    <hyperlink ref="T27" r:id="rId52" display="https://doi.org/10.1109/ISIT.2002.1023680"/>
    <hyperlink ref="U27" r:id="rId53" display="Search"/>
    <hyperlink ref="T28" r:id="rId54" display="https://doi.org/10.1147/sj.403.0614"/>
    <hyperlink ref="U28" r:id="rId55" display="Search"/>
    <hyperlink ref="T29" r:id="rId56" display="https://doi.org/10.1145/319709.319714"/>
    <hyperlink ref="U29" r:id="rId5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8"/>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17</v>
      </c>
    </row>
    <row r="2" customFormat="false" ht="15" hidden="false" customHeight="false" outlineLevel="0" collapsed="false">
      <c r="A2" s="14" t="s">
        <v>2709</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971</v>
      </c>
      <c r="C5" s="17" t="s">
        <v>972</v>
      </c>
      <c r="D5" s="17" t="s">
        <v>973</v>
      </c>
      <c r="E5" s="16" t="n">
        <v>2023</v>
      </c>
      <c r="F5" s="17" t="s">
        <v>411</v>
      </c>
      <c r="G5" s="16" t="s">
        <v>199</v>
      </c>
      <c r="H5" s="26" t="s">
        <v>17</v>
      </c>
      <c r="I5" s="17" t="s">
        <v>17</v>
      </c>
      <c r="J5" s="17" t="s">
        <v>974</v>
      </c>
      <c r="K5" s="17" t="s">
        <v>975</v>
      </c>
      <c r="L5" s="17" t="s">
        <v>976</v>
      </c>
      <c r="M5" s="17" t="s">
        <v>977</v>
      </c>
      <c r="N5" s="17" t="s">
        <v>978</v>
      </c>
      <c r="O5" s="17" t="s">
        <v>979</v>
      </c>
      <c r="P5" s="17" t="s">
        <v>980</v>
      </c>
      <c r="Q5" s="17" t="s">
        <v>981</v>
      </c>
      <c r="R5" s="16" t="s">
        <v>65</v>
      </c>
      <c r="S5" s="16"/>
      <c r="T5" s="19" t="s">
        <v>982</v>
      </c>
      <c r="U5" s="19" t="s">
        <v>67</v>
      </c>
    </row>
    <row r="6" customFormat="false" ht="96" hidden="false" customHeight="true" outlineLevel="0" collapsed="false">
      <c r="A6" s="16" t="n">
        <v>2</v>
      </c>
      <c r="B6" s="16" t="s">
        <v>1619</v>
      </c>
      <c r="C6" s="17" t="s">
        <v>1620</v>
      </c>
      <c r="D6" s="17" t="s">
        <v>1621</v>
      </c>
      <c r="E6" s="16" t="n">
        <v>2021</v>
      </c>
      <c r="F6" s="17" t="s">
        <v>661</v>
      </c>
      <c r="G6" s="16" t="s">
        <v>199</v>
      </c>
      <c r="H6" s="26" t="s">
        <v>17</v>
      </c>
      <c r="I6" s="17" t="s">
        <v>17</v>
      </c>
      <c r="J6" s="17" t="s">
        <v>1622</v>
      </c>
      <c r="K6" s="17" t="s">
        <v>1623</v>
      </c>
      <c r="L6" s="17" t="s">
        <v>1624</v>
      </c>
      <c r="M6" s="17" t="s">
        <v>1625</v>
      </c>
      <c r="N6" s="17" t="s">
        <v>1626</v>
      </c>
      <c r="O6" s="17" t="s">
        <v>979</v>
      </c>
      <c r="P6" s="17" t="s">
        <v>1627</v>
      </c>
      <c r="Q6" s="17" t="s">
        <v>1628</v>
      </c>
      <c r="R6" s="16" t="s">
        <v>65</v>
      </c>
      <c r="S6" s="16"/>
      <c r="T6" s="19" t="s">
        <v>1629</v>
      </c>
      <c r="U6" s="19" t="s">
        <v>67</v>
      </c>
    </row>
    <row r="7" customFormat="false" ht="96" hidden="false" customHeight="true" outlineLevel="0" collapsed="false">
      <c r="A7" s="16" t="n">
        <v>3</v>
      </c>
      <c r="B7" s="16" t="s">
        <v>1649</v>
      </c>
      <c r="C7" s="17" t="s">
        <v>1650</v>
      </c>
      <c r="D7" s="17" t="s">
        <v>1651</v>
      </c>
      <c r="E7" s="16" t="n">
        <v>2021</v>
      </c>
      <c r="F7" s="17" t="s">
        <v>772</v>
      </c>
      <c r="G7" s="16" t="s">
        <v>84</v>
      </c>
      <c r="H7" s="26" t="s">
        <v>17</v>
      </c>
      <c r="I7" s="17" t="s">
        <v>17</v>
      </c>
      <c r="J7" s="17" t="s">
        <v>1652</v>
      </c>
      <c r="K7" s="17" t="s">
        <v>1653</v>
      </c>
      <c r="L7" s="17" t="s">
        <v>1654</v>
      </c>
      <c r="M7" s="17" t="s">
        <v>1655</v>
      </c>
      <c r="N7" s="17" t="s">
        <v>1656</v>
      </c>
      <c r="O7" s="17" t="s">
        <v>979</v>
      </c>
      <c r="P7" s="17" t="s">
        <v>1657</v>
      </c>
      <c r="Q7" s="17" t="s">
        <v>1658</v>
      </c>
      <c r="R7" s="16" t="s">
        <v>65</v>
      </c>
      <c r="S7" s="16"/>
      <c r="T7" s="19" t="s">
        <v>1659</v>
      </c>
      <c r="U7" s="19" t="s">
        <v>67</v>
      </c>
    </row>
    <row r="8" customFormat="false" ht="96" hidden="false" customHeight="true" outlineLevel="0" collapsed="false">
      <c r="A8" s="16" t="n">
        <v>4</v>
      </c>
      <c r="B8" s="16" t="s">
        <v>1818</v>
      </c>
      <c r="C8" s="17" t="s">
        <v>1819</v>
      </c>
      <c r="D8" s="17" t="s">
        <v>1820</v>
      </c>
      <c r="E8" s="16" t="n">
        <v>2020</v>
      </c>
      <c r="F8" s="17" t="s">
        <v>1821</v>
      </c>
      <c r="G8" s="16" t="s">
        <v>1164</v>
      </c>
      <c r="H8" s="26" t="s">
        <v>17</v>
      </c>
      <c r="I8" s="17" t="s">
        <v>17</v>
      </c>
      <c r="J8" s="17" t="s">
        <v>447</v>
      </c>
      <c r="K8" s="17" t="s">
        <v>1822</v>
      </c>
      <c r="L8" s="17" t="s">
        <v>1823</v>
      </c>
      <c r="M8" s="17" t="s">
        <v>1824</v>
      </c>
      <c r="N8" s="17" t="s">
        <v>1825</v>
      </c>
      <c r="O8" s="17" t="s">
        <v>979</v>
      </c>
      <c r="P8" s="17" t="s">
        <v>1826</v>
      </c>
      <c r="Q8" s="17" t="s">
        <v>1827</v>
      </c>
      <c r="R8" s="16" t="s">
        <v>65</v>
      </c>
      <c r="S8" s="16"/>
      <c r="T8" s="19" t="s">
        <v>1828</v>
      </c>
      <c r="U8" s="19" t="s">
        <v>67</v>
      </c>
    </row>
    <row r="9" customFormat="false" ht="96" hidden="false" customHeight="true" outlineLevel="0" collapsed="false">
      <c r="A9" s="16" t="n">
        <v>5</v>
      </c>
      <c r="B9" s="16" t="s">
        <v>1840</v>
      </c>
      <c r="C9" s="17" t="s">
        <v>1841</v>
      </c>
      <c r="D9" s="17" t="s">
        <v>1842</v>
      </c>
      <c r="E9" s="16" t="n">
        <v>2020</v>
      </c>
      <c r="F9" s="17" t="s">
        <v>1843</v>
      </c>
      <c r="G9" s="16" t="s">
        <v>84</v>
      </c>
      <c r="H9" s="26" t="s">
        <v>17</v>
      </c>
      <c r="I9" s="17" t="s">
        <v>17</v>
      </c>
      <c r="J9" s="17" t="s">
        <v>1844</v>
      </c>
      <c r="K9" s="17" t="s">
        <v>1845</v>
      </c>
      <c r="L9" s="17" t="s">
        <v>1846</v>
      </c>
      <c r="M9" s="17" t="s">
        <v>1847</v>
      </c>
      <c r="N9" s="17" t="s">
        <v>1848</v>
      </c>
      <c r="O9" s="17" t="s">
        <v>334</v>
      </c>
      <c r="P9" s="17" t="s">
        <v>1849</v>
      </c>
      <c r="Q9" s="17" t="s">
        <v>1850</v>
      </c>
      <c r="R9" s="16" t="s">
        <v>65</v>
      </c>
      <c r="S9" s="16"/>
      <c r="T9" s="19" t="s">
        <v>1851</v>
      </c>
      <c r="U9" s="19" t="s">
        <v>67</v>
      </c>
    </row>
    <row r="10" customFormat="false" ht="96" hidden="false" customHeight="true" outlineLevel="0" collapsed="false">
      <c r="A10" s="16" t="n">
        <v>6</v>
      </c>
      <c r="B10" s="16" t="s">
        <v>1864</v>
      </c>
      <c r="C10" s="17" t="s">
        <v>1865</v>
      </c>
      <c r="D10" s="17" t="s">
        <v>1866</v>
      </c>
      <c r="E10" s="16" t="n">
        <v>2020</v>
      </c>
      <c r="F10" s="17" t="s">
        <v>1753</v>
      </c>
      <c r="G10" s="16" t="s">
        <v>1164</v>
      </c>
      <c r="H10" s="26" t="s">
        <v>17</v>
      </c>
      <c r="I10" s="17" t="s">
        <v>17</v>
      </c>
      <c r="J10" s="17" t="s">
        <v>1844</v>
      </c>
      <c r="K10" s="17" t="s">
        <v>1867</v>
      </c>
      <c r="L10" s="17" t="s">
        <v>1868</v>
      </c>
      <c r="M10" s="17" t="s">
        <v>1869</v>
      </c>
      <c r="N10" s="17" t="s">
        <v>1870</v>
      </c>
      <c r="O10" s="17" t="s">
        <v>76</v>
      </c>
      <c r="P10" s="17" t="s">
        <v>1871</v>
      </c>
      <c r="Q10" s="17" t="s">
        <v>1872</v>
      </c>
      <c r="R10" s="16" t="s">
        <v>65</v>
      </c>
      <c r="S10" s="16"/>
      <c r="T10" s="19" t="s">
        <v>1873</v>
      </c>
      <c r="U10" s="19" t="s">
        <v>67</v>
      </c>
    </row>
    <row r="11" customFormat="false" ht="96" hidden="false" customHeight="true" outlineLevel="0" collapsed="false">
      <c r="A11" s="16" t="n">
        <v>7</v>
      </c>
      <c r="B11" s="16" t="s">
        <v>1886</v>
      </c>
      <c r="C11" s="17" t="s">
        <v>1887</v>
      </c>
      <c r="D11" s="17" t="s">
        <v>1888</v>
      </c>
      <c r="E11" s="16" t="n">
        <v>2020</v>
      </c>
      <c r="F11" s="17" t="s">
        <v>1889</v>
      </c>
      <c r="G11" s="16" t="s">
        <v>84</v>
      </c>
      <c r="H11" s="26" t="s">
        <v>17</v>
      </c>
      <c r="I11" s="17" t="s">
        <v>17</v>
      </c>
      <c r="J11" s="17" t="s">
        <v>1890</v>
      </c>
      <c r="K11" s="17" t="s">
        <v>1891</v>
      </c>
      <c r="L11" s="17" t="s">
        <v>1892</v>
      </c>
      <c r="M11" s="17" t="s">
        <v>1893</v>
      </c>
      <c r="N11" s="17" t="s">
        <v>1894</v>
      </c>
      <c r="O11" s="17" t="s">
        <v>1895</v>
      </c>
      <c r="P11" s="17" t="s">
        <v>1896</v>
      </c>
      <c r="Q11" s="17" t="s">
        <v>1897</v>
      </c>
      <c r="R11" s="16" t="s">
        <v>65</v>
      </c>
      <c r="S11" s="16"/>
      <c r="T11" s="19" t="s">
        <v>1898</v>
      </c>
      <c r="U11" s="19" t="s">
        <v>67</v>
      </c>
    </row>
    <row r="12" customFormat="false" ht="96" hidden="false" customHeight="true" outlineLevel="0" collapsed="false">
      <c r="A12" s="16" t="n">
        <v>8</v>
      </c>
      <c r="B12" s="16" t="s">
        <v>1909</v>
      </c>
      <c r="C12" s="17" t="s">
        <v>1910</v>
      </c>
      <c r="D12" s="17" t="s">
        <v>1911</v>
      </c>
      <c r="E12" s="16" t="n">
        <v>2020</v>
      </c>
      <c r="F12" s="17" t="s">
        <v>71</v>
      </c>
      <c r="G12" s="16" t="s">
        <v>56</v>
      </c>
      <c r="H12" s="26" t="s">
        <v>17</v>
      </c>
      <c r="I12" s="17" t="s">
        <v>17</v>
      </c>
      <c r="J12" s="17" t="s">
        <v>1844</v>
      </c>
      <c r="K12" s="17" t="s">
        <v>1845</v>
      </c>
      <c r="L12" s="17" t="s">
        <v>1912</v>
      </c>
      <c r="M12" s="17" t="s">
        <v>1913</v>
      </c>
      <c r="N12" s="17" t="s">
        <v>1848</v>
      </c>
      <c r="O12" s="17" t="s">
        <v>979</v>
      </c>
      <c r="P12" s="17" t="s">
        <v>1914</v>
      </c>
      <c r="Q12" s="17" t="s">
        <v>1915</v>
      </c>
      <c r="R12" s="16" t="s">
        <v>65</v>
      </c>
      <c r="S12" s="16"/>
      <c r="T12" s="19" t="s">
        <v>1916</v>
      </c>
      <c r="U12" s="19" t="s">
        <v>67</v>
      </c>
    </row>
    <row r="13" customFormat="false" ht="96" hidden="false" customHeight="true" outlineLevel="0" collapsed="false">
      <c r="A13" s="16" t="n">
        <v>9</v>
      </c>
      <c r="B13" s="16" t="s">
        <v>2000</v>
      </c>
      <c r="C13" s="17" t="s">
        <v>2001</v>
      </c>
      <c r="D13" s="17" t="s">
        <v>1888</v>
      </c>
      <c r="E13" s="16" t="n">
        <v>2019</v>
      </c>
      <c r="F13" s="17" t="s">
        <v>1843</v>
      </c>
      <c r="G13" s="16" t="s">
        <v>84</v>
      </c>
      <c r="H13" s="26" t="s">
        <v>17</v>
      </c>
      <c r="I13" s="17" t="s">
        <v>17</v>
      </c>
      <c r="J13" s="17" t="s">
        <v>2002</v>
      </c>
      <c r="K13" s="17" t="s">
        <v>2003</v>
      </c>
      <c r="L13" s="17" t="s">
        <v>2004</v>
      </c>
      <c r="M13" s="17" t="s">
        <v>2005</v>
      </c>
      <c r="N13" s="17" t="s">
        <v>2006</v>
      </c>
      <c r="O13" s="17" t="s">
        <v>2007</v>
      </c>
      <c r="P13" s="17" t="s">
        <v>2008</v>
      </c>
      <c r="Q13" s="17" t="s">
        <v>2009</v>
      </c>
      <c r="R13" s="16" t="s">
        <v>65</v>
      </c>
      <c r="S13" s="16"/>
      <c r="T13" s="19" t="s">
        <v>2010</v>
      </c>
      <c r="U13" s="19" t="s">
        <v>67</v>
      </c>
    </row>
    <row r="14" customFormat="false" ht="96" hidden="false" customHeight="true" outlineLevel="0" collapsed="false">
      <c r="A14" s="16" t="n">
        <v>10</v>
      </c>
      <c r="B14" s="16" t="s">
        <v>2058</v>
      </c>
      <c r="C14" s="17" t="s">
        <v>2059</v>
      </c>
      <c r="D14" s="17" t="s">
        <v>2060</v>
      </c>
      <c r="E14" s="16" t="n">
        <v>2019</v>
      </c>
      <c r="F14" s="17" t="s">
        <v>2061</v>
      </c>
      <c r="G14" s="16" t="s">
        <v>1164</v>
      </c>
      <c r="H14" s="26" t="s">
        <v>17</v>
      </c>
      <c r="I14" s="17" t="s">
        <v>17</v>
      </c>
      <c r="J14" s="17" t="s">
        <v>1844</v>
      </c>
      <c r="K14" s="17" t="s">
        <v>1845</v>
      </c>
      <c r="L14" s="17" t="s">
        <v>2062</v>
      </c>
      <c r="M14" s="17" t="s">
        <v>2063</v>
      </c>
      <c r="N14" s="17" t="s">
        <v>2064</v>
      </c>
      <c r="O14" s="17" t="s">
        <v>334</v>
      </c>
      <c r="P14" s="17" t="s">
        <v>2065</v>
      </c>
      <c r="Q14" s="17" t="s">
        <v>2066</v>
      </c>
      <c r="R14" s="16" t="s">
        <v>65</v>
      </c>
      <c r="S14" s="16"/>
      <c r="T14" s="19" t="s">
        <v>2067</v>
      </c>
      <c r="U14" s="19" t="s">
        <v>67</v>
      </c>
    </row>
    <row r="15" customFormat="false" ht="96" hidden="false" customHeight="true" outlineLevel="0" collapsed="false">
      <c r="A15" s="16" t="n">
        <v>11</v>
      </c>
      <c r="B15" s="16" t="s">
        <v>2184</v>
      </c>
      <c r="C15" s="17" t="s">
        <v>2185</v>
      </c>
      <c r="D15" s="17" t="s">
        <v>2186</v>
      </c>
      <c r="E15" s="16" t="n">
        <v>2018</v>
      </c>
      <c r="F15" s="17" t="s">
        <v>2061</v>
      </c>
      <c r="G15" s="16" t="s">
        <v>1164</v>
      </c>
      <c r="H15" s="26" t="s">
        <v>17</v>
      </c>
      <c r="I15" s="17" t="s">
        <v>17</v>
      </c>
      <c r="J15" s="17" t="s">
        <v>2187</v>
      </c>
      <c r="K15" s="17" t="s">
        <v>2188</v>
      </c>
      <c r="L15" s="17" t="s">
        <v>2189</v>
      </c>
      <c r="M15" s="17" t="s">
        <v>2190</v>
      </c>
      <c r="N15" s="17" t="s">
        <v>2191</v>
      </c>
      <c r="O15" s="17" t="s">
        <v>2007</v>
      </c>
      <c r="P15" s="17" t="s">
        <v>2192</v>
      </c>
      <c r="Q15" s="17" t="s">
        <v>2193</v>
      </c>
      <c r="R15" s="16" t="s">
        <v>65</v>
      </c>
      <c r="S15" s="16"/>
      <c r="T15" s="19" t="s">
        <v>2194</v>
      </c>
      <c r="U15" s="19" t="s">
        <v>67</v>
      </c>
    </row>
    <row r="16" customFormat="false" ht="96" hidden="false" customHeight="true" outlineLevel="0" collapsed="false">
      <c r="A16" s="16" t="n">
        <v>12</v>
      </c>
      <c r="B16" s="16" t="s">
        <v>2267</v>
      </c>
      <c r="C16" s="17" t="s">
        <v>2268</v>
      </c>
      <c r="D16" s="17" t="s">
        <v>2269</v>
      </c>
      <c r="E16" s="16" t="n">
        <v>2017</v>
      </c>
      <c r="F16" s="17" t="s">
        <v>1277</v>
      </c>
      <c r="G16" s="16" t="s">
        <v>1164</v>
      </c>
      <c r="H16" s="26" t="s">
        <v>17</v>
      </c>
      <c r="I16" s="17" t="s">
        <v>17</v>
      </c>
      <c r="J16" s="17" t="s">
        <v>2270</v>
      </c>
      <c r="K16" s="17" t="s">
        <v>2271</v>
      </c>
      <c r="L16" s="17" t="s">
        <v>2272</v>
      </c>
      <c r="M16" s="17" t="s">
        <v>2273</v>
      </c>
      <c r="N16" s="17" t="s">
        <v>2274</v>
      </c>
      <c r="O16" s="17" t="s">
        <v>2007</v>
      </c>
      <c r="P16" s="17" t="s">
        <v>2275</v>
      </c>
      <c r="Q16" s="17" t="s">
        <v>2276</v>
      </c>
      <c r="R16" s="16" t="s">
        <v>65</v>
      </c>
      <c r="S16" s="16"/>
      <c r="T16" s="19" t="s">
        <v>2277</v>
      </c>
      <c r="U16" s="19" t="s">
        <v>67</v>
      </c>
    </row>
  </sheetData>
  <autoFilter ref="A4:U16"/>
  <hyperlinks>
    <hyperlink ref="T5" r:id="rId1" display="https://arxiv.org/abs/2301.02516"/>
    <hyperlink ref="U5" r:id="rId2" display="Search"/>
    <hyperlink ref="T6" r:id="rId3" display="https://arxiv.org/abs/2108.03764"/>
    <hyperlink ref="U6" r:id="rId4" display="Search"/>
    <hyperlink ref="T7" r:id="rId5" display="https://arxiv.org/abs/1902.00334"/>
    <hyperlink ref="U7" r:id="rId6" display="Search"/>
    <hyperlink ref="T8" r:id="rId7" display="https://doi.org/10.1109/FG47880.2020.00007"/>
    <hyperlink ref="U8" r:id="rId8" display="Search"/>
    <hyperlink ref="T9" r:id="rId9" display="https://doi.org/10.1109/ACCESS.2020.2994960"/>
    <hyperlink ref="U9" r:id="rId10" display="Search"/>
    <hyperlink ref="T10" r:id="rId11" display="https://ieeexplore.ieee.org/document/9211021"/>
    <hyperlink ref="U10" r:id="rId12" display="Search"/>
    <hyperlink ref="T11" r:id="rId13" display="https://arxiv.org/abs/2001.00561"/>
    <hyperlink ref="U11" r:id="rId14" display="Search"/>
    <hyperlink ref="T12" r:id="rId15" display="https://arxiv.org/abs/2002.09181"/>
    <hyperlink ref="U12" r:id="rId16" display="Search"/>
    <hyperlink ref="T13" r:id="rId17" display="https://doi.org/10.1109/ACCESS.2019.2924619"/>
    <hyperlink ref="U13" r:id="rId18" display="Search"/>
    <hyperlink ref="T14" r:id="rId19" display="https://doi.org/10.1109/ICB45695.2019.8987331"/>
    <hyperlink ref="U14" r:id="rId20" display="Search"/>
    <hyperlink ref="T15" r:id="rId21" display="https://arxiv.org/abs/1712.00321"/>
    <hyperlink ref="U15" r:id="rId22" display="Search"/>
    <hyperlink ref="T16" r:id="rId23" display="https://doi.org/10.1109/BTAS.2017.8272743"/>
    <hyperlink ref="U16" r:id="rId24"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9</v>
      </c>
    </row>
    <row r="2" customFormat="false" ht="15" hidden="false" customHeight="false" outlineLevel="0" collapsed="false">
      <c r="A2" s="14" t="s">
        <v>2710</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219</v>
      </c>
      <c r="C5" s="17" t="s">
        <v>220</v>
      </c>
      <c r="D5" s="17" t="s">
        <v>221</v>
      </c>
      <c r="E5" s="16" t="n">
        <v>2025</v>
      </c>
      <c r="F5" s="17" t="s">
        <v>222</v>
      </c>
      <c r="G5" s="16" t="s">
        <v>199</v>
      </c>
      <c r="H5" s="22" t="s">
        <v>9</v>
      </c>
      <c r="I5" s="17" t="s">
        <v>223</v>
      </c>
      <c r="J5" s="17" t="s">
        <v>224</v>
      </c>
      <c r="K5" s="17" t="s">
        <v>225</v>
      </c>
      <c r="L5" s="17" t="s">
        <v>226</v>
      </c>
      <c r="M5" s="17" t="s">
        <v>227</v>
      </c>
      <c r="N5" s="17" t="s">
        <v>228</v>
      </c>
      <c r="O5" s="17" t="s">
        <v>229</v>
      </c>
      <c r="P5" s="17" t="s">
        <v>230</v>
      </c>
      <c r="Q5" s="17" t="s">
        <v>231</v>
      </c>
      <c r="R5" s="16" t="s">
        <v>103</v>
      </c>
      <c r="S5" s="19" t="s">
        <v>232</v>
      </c>
      <c r="T5" s="19" t="s">
        <v>233</v>
      </c>
      <c r="U5" s="19" t="s">
        <v>67</v>
      </c>
    </row>
    <row r="6" customFormat="false" ht="96" hidden="false" customHeight="true" outlineLevel="0" collapsed="false">
      <c r="A6" s="16" t="n">
        <v>2</v>
      </c>
      <c r="B6" s="16" t="s">
        <v>276</v>
      </c>
      <c r="C6" s="17" t="s">
        <v>277</v>
      </c>
      <c r="D6" s="17" t="s">
        <v>278</v>
      </c>
      <c r="E6" s="16" t="n">
        <v>2025</v>
      </c>
      <c r="F6" s="17" t="s">
        <v>71</v>
      </c>
      <c r="G6" s="16" t="s">
        <v>56</v>
      </c>
      <c r="H6" s="22" t="s">
        <v>9</v>
      </c>
      <c r="I6" s="17" t="s">
        <v>223</v>
      </c>
      <c r="J6" s="17" t="s">
        <v>279</v>
      </c>
      <c r="K6" s="17" t="s">
        <v>280</v>
      </c>
      <c r="L6" s="17" t="s">
        <v>281</v>
      </c>
      <c r="M6" s="17" t="s">
        <v>282</v>
      </c>
      <c r="N6" s="17" t="s">
        <v>283</v>
      </c>
      <c r="O6" s="17" t="s">
        <v>284</v>
      </c>
      <c r="P6" s="17" t="s">
        <v>285</v>
      </c>
      <c r="Q6" s="17" t="s">
        <v>286</v>
      </c>
      <c r="R6" s="16" t="s">
        <v>65</v>
      </c>
      <c r="S6" s="16"/>
      <c r="T6" s="19" t="s">
        <v>287</v>
      </c>
      <c r="U6" s="19" t="s">
        <v>67</v>
      </c>
    </row>
    <row r="7" customFormat="false" ht="96" hidden="false" customHeight="true" outlineLevel="0" collapsed="false">
      <c r="A7" s="16" t="n">
        <v>3</v>
      </c>
      <c r="B7" s="16" t="s">
        <v>288</v>
      </c>
      <c r="C7" s="17" t="s">
        <v>289</v>
      </c>
      <c r="D7" s="17" t="s">
        <v>290</v>
      </c>
      <c r="E7" s="16" t="n">
        <v>2025</v>
      </c>
      <c r="F7" s="17" t="s">
        <v>291</v>
      </c>
      <c r="G7" s="16" t="s">
        <v>199</v>
      </c>
      <c r="H7" s="22" t="s">
        <v>9</v>
      </c>
      <c r="I7" s="17" t="s">
        <v>223</v>
      </c>
      <c r="J7" s="17" t="s">
        <v>292</v>
      </c>
      <c r="K7" s="17" t="s">
        <v>293</v>
      </c>
      <c r="L7" s="17" t="s">
        <v>294</v>
      </c>
      <c r="M7" s="17" t="s">
        <v>295</v>
      </c>
      <c r="N7" s="17" t="s">
        <v>296</v>
      </c>
      <c r="O7" s="17" t="s">
        <v>297</v>
      </c>
      <c r="P7" s="17" t="s">
        <v>298</v>
      </c>
      <c r="Q7" s="17" t="s">
        <v>299</v>
      </c>
      <c r="R7" s="16" t="s">
        <v>103</v>
      </c>
      <c r="S7" s="19" t="s">
        <v>300</v>
      </c>
      <c r="T7" s="19" t="s">
        <v>301</v>
      </c>
      <c r="U7" s="19" t="s">
        <v>67</v>
      </c>
    </row>
    <row r="8" customFormat="false" ht="96" hidden="false" customHeight="true" outlineLevel="0" collapsed="false">
      <c r="A8" s="16" t="n">
        <v>4</v>
      </c>
      <c r="B8" s="16" t="s">
        <v>313</v>
      </c>
      <c r="C8" s="17" t="s">
        <v>314</v>
      </c>
      <c r="D8" s="17" t="s">
        <v>315</v>
      </c>
      <c r="E8" s="16" t="n">
        <v>2025</v>
      </c>
      <c r="F8" s="17" t="s">
        <v>71</v>
      </c>
      <c r="G8" s="16" t="s">
        <v>56</v>
      </c>
      <c r="H8" s="22" t="s">
        <v>9</v>
      </c>
      <c r="I8" s="17" t="s">
        <v>223</v>
      </c>
      <c r="J8" s="17" t="s">
        <v>126</v>
      </c>
      <c r="K8" s="17" t="s">
        <v>316</v>
      </c>
      <c r="L8" s="17" t="s">
        <v>317</v>
      </c>
      <c r="M8" s="17" t="s">
        <v>318</v>
      </c>
      <c r="N8" s="17" t="s">
        <v>319</v>
      </c>
      <c r="O8" s="17" t="s">
        <v>320</v>
      </c>
      <c r="P8" s="17" t="s">
        <v>321</v>
      </c>
      <c r="Q8" s="17" t="s">
        <v>322</v>
      </c>
      <c r="R8" s="16" t="s">
        <v>65</v>
      </c>
      <c r="S8" s="16"/>
      <c r="T8" s="19" t="s">
        <v>323</v>
      </c>
      <c r="U8" s="19" t="s">
        <v>67</v>
      </c>
    </row>
    <row r="9" customFormat="false" ht="96" hidden="false" customHeight="true" outlineLevel="0" collapsed="false">
      <c r="A9" s="16" t="n">
        <v>5</v>
      </c>
      <c r="B9" s="16" t="s">
        <v>385</v>
      </c>
      <c r="C9" s="17" t="s">
        <v>386</v>
      </c>
      <c r="D9" s="17" t="s">
        <v>387</v>
      </c>
      <c r="E9" s="16" t="n">
        <v>2024</v>
      </c>
      <c r="F9" s="17" t="s">
        <v>388</v>
      </c>
      <c r="G9" s="16" t="s">
        <v>148</v>
      </c>
      <c r="H9" s="22" t="s">
        <v>9</v>
      </c>
      <c r="I9" s="17" t="s">
        <v>223</v>
      </c>
      <c r="J9" s="17" t="s">
        <v>389</v>
      </c>
      <c r="K9" s="17" t="s">
        <v>390</v>
      </c>
      <c r="L9" s="17" t="s">
        <v>391</v>
      </c>
      <c r="M9" s="17" t="s">
        <v>392</v>
      </c>
      <c r="N9" s="17" t="s">
        <v>393</v>
      </c>
      <c r="O9" s="17" t="s">
        <v>394</v>
      </c>
      <c r="P9" s="17" t="s">
        <v>395</v>
      </c>
      <c r="Q9" s="17" t="s">
        <v>396</v>
      </c>
      <c r="R9" s="16" t="s">
        <v>65</v>
      </c>
      <c r="S9" s="16"/>
      <c r="T9" s="19" t="s">
        <v>397</v>
      </c>
      <c r="U9" s="19" t="s">
        <v>67</v>
      </c>
    </row>
    <row r="10" customFormat="false" ht="96" hidden="false" customHeight="true" outlineLevel="0" collapsed="false">
      <c r="A10" s="16" t="n">
        <v>6</v>
      </c>
      <c r="B10" s="16" t="s">
        <v>431</v>
      </c>
      <c r="C10" s="17" t="s">
        <v>432</v>
      </c>
      <c r="D10" s="17" t="s">
        <v>433</v>
      </c>
      <c r="E10" s="16" t="n">
        <v>2024</v>
      </c>
      <c r="F10" s="17" t="s">
        <v>209</v>
      </c>
      <c r="G10" s="16" t="s">
        <v>199</v>
      </c>
      <c r="H10" s="22" t="s">
        <v>9</v>
      </c>
      <c r="I10" s="17" t="s">
        <v>223</v>
      </c>
      <c r="J10" s="17" t="s">
        <v>224</v>
      </c>
      <c r="K10" s="17" t="s">
        <v>434</v>
      </c>
      <c r="L10" s="17" t="s">
        <v>435</v>
      </c>
      <c r="M10" s="17" t="s">
        <v>436</v>
      </c>
      <c r="N10" s="17" t="s">
        <v>437</v>
      </c>
      <c r="O10" s="17" t="s">
        <v>438</v>
      </c>
      <c r="P10" s="17" t="s">
        <v>439</v>
      </c>
      <c r="Q10" s="17" t="s">
        <v>440</v>
      </c>
      <c r="R10" s="16" t="s">
        <v>65</v>
      </c>
      <c r="S10" s="16"/>
      <c r="T10" s="19" t="s">
        <v>441</v>
      </c>
      <c r="U10" s="19" t="s">
        <v>67</v>
      </c>
    </row>
    <row r="11" customFormat="false" ht="96" hidden="false" customHeight="true" outlineLevel="0" collapsed="false">
      <c r="A11" s="16" t="n">
        <v>7</v>
      </c>
      <c r="B11" s="16" t="s">
        <v>468</v>
      </c>
      <c r="C11" s="17" t="s">
        <v>469</v>
      </c>
      <c r="D11" s="17" t="s">
        <v>470</v>
      </c>
      <c r="E11" s="16" t="n">
        <v>2024</v>
      </c>
      <c r="F11" s="17" t="s">
        <v>83</v>
      </c>
      <c r="G11" s="16" t="s">
        <v>84</v>
      </c>
      <c r="H11" s="22" t="s">
        <v>9</v>
      </c>
      <c r="I11" s="17" t="s">
        <v>223</v>
      </c>
      <c r="J11" s="17" t="s">
        <v>97</v>
      </c>
      <c r="K11" s="17" t="s">
        <v>471</v>
      </c>
      <c r="L11" s="17" t="s">
        <v>472</v>
      </c>
      <c r="M11" s="17" t="s">
        <v>473</v>
      </c>
      <c r="N11" s="17" t="s">
        <v>474</v>
      </c>
      <c r="O11" s="17" t="s">
        <v>475</v>
      </c>
      <c r="P11" s="17" t="s">
        <v>476</v>
      </c>
      <c r="Q11" s="17" t="s">
        <v>477</v>
      </c>
      <c r="R11" s="16" t="s">
        <v>103</v>
      </c>
      <c r="S11" s="19" t="s">
        <v>478</v>
      </c>
      <c r="T11" s="19" t="s">
        <v>479</v>
      </c>
      <c r="U11" s="19" t="s">
        <v>67</v>
      </c>
    </row>
    <row r="12" customFormat="false" ht="96" hidden="false" customHeight="true" outlineLevel="0" collapsed="false">
      <c r="A12" s="16" t="n">
        <v>8</v>
      </c>
      <c r="B12" s="16" t="s">
        <v>480</v>
      </c>
      <c r="C12" s="17" t="s">
        <v>481</v>
      </c>
      <c r="D12" s="17" t="s">
        <v>482</v>
      </c>
      <c r="E12" s="16" t="n">
        <v>2024</v>
      </c>
      <c r="F12" s="17" t="s">
        <v>483</v>
      </c>
      <c r="G12" s="16" t="s">
        <v>84</v>
      </c>
      <c r="H12" s="22" t="s">
        <v>9</v>
      </c>
      <c r="I12" s="17" t="s">
        <v>223</v>
      </c>
      <c r="J12" s="17" t="s">
        <v>484</v>
      </c>
      <c r="K12" s="17" t="s">
        <v>485</v>
      </c>
      <c r="L12" s="17" t="s">
        <v>486</v>
      </c>
      <c r="M12" s="17" t="s">
        <v>487</v>
      </c>
      <c r="N12" s="17" t="s">
        <v>488</v>
      </c>
      <c r="O12" s="17" t="s">
        <v>489</v>
      </c>
      <c r="P12" s="17" t="s">
        <v>490</v>
      </c>
      <c r="Q12" s="17" t="s">
        <v>491</v>
      </c>
      <c r="R12" s="16" t="s">
        <v>103</v>
      </c>
      <c r="S12" s="19" t="s">
        <v>492</v>
      </c>
      <c r="T12" s="19" t="s">
        <v>493</v>
      </c>
      <c r="U12" s="19" t="s">
        <v>67</v>
      </c>
    </row>
    <row r="13" customFormat="false" ht="96" hidden="false" customHeight="true" outlineLevel="0" collapsed="false">
      <c r="A13" s="16" t="n">
        <v>9</v>
      </c>
      <c r="B13" s="16" t="s">
        <v>517</v>
      </c>
      <c r="C13" s="17" t="s">
        <v>518</v>
      </c>
      <c r="D13" s="17" t="s">
        <v>519</v>
      </c>
      <c r="E13" s="16" t="n">
        <v>2024</v>
      </c>
      <c r="F13" s="17" t="s">
        <v>71</v>
      </c>
      <c r="G13" s="16" t="s">
        <v>56</v>
      </c>
      <c r="H13" s="22" t="s">
        <v>9</v>
      </c>
      <c r="I13" s="17" t="s">
        <v>223</v>
      </c>
      <c r="J13" s="17" t="s">
        <v>224</v>
      </c>
      <c r="K13" s="17" t="s">
        <v>520</v>
      </c>
      <c r="L13" s="17" t="s">
        <v>521</v>
      </c>
      <c r="M13" s="17" t="s">
        <v>522</v>
      </c>
      <c r="N13" s="17" t="s">
        <v>523</v>
      </c>
      <c r="O13" s="17" t="s">
        <v>524</v>
      </c>
      <c r="P13" s="17" t="s">
        <v>525</v>
      </c>
      <c r="Q13" s="17" t="s">
        <v>526</v>
      </c>
      <c r="R13" s="16" t="s">
        <v>65</v>
      </c>
      <c r="S13" s="16"/>
      <c r="T13" s="19" t="s">
        <v>527</v>
      </c>
      <c r="U13" s="19" t="s">
        <v>67</v>
      </c>
    </row>
    <row r="14" customFormat="false" ht="96" hidden="false" customHeight="true" outlineLevel="0" collapsed="false">
      <c r="A14" s="16" t="n">
        <v>10</v>
      </c>
      <c r="B14" s="16" t="s">
        <v>528</v>
      </c>
      <c r="C14" s="17" t="s">
        <v>529</v>
      </c>
      <c r="D14" s="17" t="s">
        <v>530</v>
      </c>
      <c r="E14" s="16" t="n">
        <v>2024</v>
      </c>
      <c r="F14" s="17" t="s">
        <v>198</v>
      </c>
      <c r="G14" s="16" t="s">
        <v>199</v>
      </c>
      <c r="H14" s="22" t="s">
        <v>9</v>
      </c>
      <c r="I14" s="17" t="s">
        <v>223</v>
      </c>
      <c r="J14" s="17" t="s">
        <v>279</v>
      </c>
      <c r="K14" s="17" t="s">
        <v>531</v>
      </c>
      <c r="L14" s="17" t="s">
        <v>532</v>
      </c>
      <c r="M14" s="17" t="s">
        <v>533</v>
      </c>
      <c r="N14" s="17" t="s">
        <v>534</v>
      </c>
      <c r="O14" s="17" t="s">
        <v>535</v>
      </c>
      <c r="P14" s="17" t="s">
        <v>536</v>
      </c>
      <c r="Q14" s="17" t="s">
        <v>537</v>
      </c>
      <c r="R14" s="16" t="s">
        <v>103</v>
      </c>
      <c r="S14" s="19" t="s">
        <v>538</v>
      </c>
      <c r="T14" s="19" t="s">
        <v>539</v>
      </c>
      <c r="U14" s="19" t="s">
        <v>67</v>
      </c>
    </row>
    <row r="15" customFormat="false" ht="96" hidden="false" customHeight="true" outlineLevel="0" collapsed="false">
      <c r="A15" s="16" t="n">
        <v>11</v>
      </c>
      <c r="B15" s="16" t="s">
        <v>698</v>
      </c>
      <c r="C15" s="17" t="s">
        <v>699</v>
      </c>
      <c r="D15" s="17" t="s">
        <v>700</v>
      </c>
      <c r="E15" s="16" t="n">
        <v>2023</v>
      </c>
      <c r="F15" s="17" t="s">
        <v>209</v>
      </c>
      <c r="G15" s="16" t="s">
        <v>199</v>
      </c>
      <c r="H15" s="22" t="s">
        <v>9</v>
      </c>
      <c r="I15" s="17" t="s">
        <v>223</v>
      </c>
      <c r="J15" s="17" t="s">
        <v>279</v>
      </c>
      <c r="K15" s="17" t="s">
        <v>701</v>
      </c>
      <c r="L15" s="17" t="s">
        <v>702</v>
      </c>
      <c r="M15" s="17" t="s">
        <v>703</v>
      </c>
      <c r="N15" s="17" t="s">
        <v>704</v>
      </c>
      <c r="O15" s="17" t="s">
        <v>705</v>
      </c>
      <c r="P15" s="17" t="s">
        <v>706</v>
      </c>
      <c r="Q15" s="17" t="s">
        <v>707</v>
      </c>
      <c r="R15" s="16" t="s">
        <v>103</v>
      </c>
      <c r="S15" s="19" t="s">
        <v>708</v>
      </c>
      <c r="T15" s="19" t="s">
        <v>709</v>
      </c>
      <c r="U15" s="19" t="s">
        <v>67</v>
      </c>
    </row>
    <row r="16" customFormat="false" ht="96" hidden="false" customHeight="true" outlineLevel="0" collapsed="false">
      <c r="A16" s="16" t="n">
        <v>12</v>
      </c>
      <c r="B16" s="16" t="s">
        <v>793</v>
      </c>
      <c r="C16" s="17" t="s">
        <v>794</v>
      </c>
      <c r="D16" s="17" t="s">
        <v>795</v>
      </c>
      <c r="E16" s="16" t="n">
        <v>2023</v>
      </c>
      <c r="F16" s="17" t="s">
        <v>796</v>
      </c>
      <c r="G16" s="16" t="s">
        <v>199</v>
      </c>
      <c r="H16" s="22" t="s">
        <v>9</v>
      </c>
      <c r="I16" s="17" t="s">
        <v>223</v>
      </c>
      <c r="J16" s="17" t="s">
        <v>797</v>
      </c>
      <c r="K16" s="17" t="s">
        <v>798</v>
      </c>
      <c r="L16" s="17" t="s">
        <v>799</v>
      </c>
      <c r="M16" s="17" t="s">
        <v>800</v>
      </c>
      <c r="N16" s="17" t="s">
        <v>801</v>
      </c>
      <c r="O16" s="17" t="s">
        <v>802</v>
      </c>
      <c r="P16" s="17" t="s">
        <v>803</v>
      </c>
      <c r="Q16" s="17" t="s">
        <v>804</v>
      </c>
      <c r="R16" s="16" t="s">
        <v>103</v>
      </c>
      <c r="S16" s="19" t="s">
        <v>805</v>
      </c>
      <c r="T16" s="19" t="s">
        <v>806</v>
      </c>
      <c r="U16" s="19" t="s">
        <v>67</v>
      </c>
    </row>
    <row r="17" customFormat="false" ht="96" hidden="false" customHeight="true" outlineLevel="0" collapsed="false">
      <c r="A17" s="16" t="n">
        <v>13</v>
      </c>
      <c r="B17" s="16" t="s">
        <v>847</v>
      </c>
      <c r="C17" s="17" t="s">
        <v>848</v>
      </c>
      <c r="D17" s="17" t="s">
        <v>849</v>
      </c>
      <c r="E17" s="16" t="n">
        <v>2023</v>
      </c>
      <c r="F17" s="17" t="s">
        <v>661</v>
      </c>
      <c r="G17" s="16" t="s">
        <v>199</v>
      </c>
      <c r="H17" s="22" t="s">
        <v>9</v>
      </c>
      <c r="I17" s="17" t="s">
        <v>223</v>
      </c>
      <c r="J17" s="17" t="s">
        <v>224</v>
      </c>
      <c r="K17" s="17" t="s">
        <v>850</v>
      </c>
      <c r="L17" s="17" t="s">
        <v>851</v>
      </c>
      <c r="M17" s="17" t="s">
        <v>852</v>
      </c>
      <c r="N17" s="17" t="s">
        <v>853</v>
      </c>
      <c r="O17" s="17" t="s">
        <v>854</v>
      </c>
      <c r="P17" s="17" t="s">
        <v>855</v>
      </c>
      <c r="Q17" s="17" t="s">
        <v>856</v>
      </c>
      <c r="R17" s="16" t="s">
        <v>65</v>
      </c>
      <c r="S17" s="16"/>
      <c r="T17" s="19" t="s">
        <v>857</v>
      </c>
      <c r="U17" s="19" t="s">
        <v>67</v>
      </c>
    </row>
    <row r="18" customFormat="false" ht="96" hidden="false" customHeight="true" outlineLevel="0" collapsed="false">
      <c r="A18" s="16" t="n">
        <v>14</v>
      </c>
      <c r="B18" s="16" t="s">
        <v>893</v>
      </c>
      <c r="C18" s="17" t="s">
        <v>894</v>
      </c>
      <c r="D18" s="17" t="s">
        <v>895</v>
      </c>
      <c r="E18" s="16" t="n">
        <v>2023</v>
      </c>
      <c r="F18" s="17" t="s">
        <v>291</v>
      </c>
      <c r="G18" s="16" t="s">
        <v>199</v>
      </c>
      <c r="H18" s="22" t="s">
        <v>9</v>
      </c>
      <c r="I18" s="17" t="s">
        <v>223</v>
      </c>
      <c r="J18" s="17" t="s">
        <v>896</v>
      </c>
      <c r="K18" s="17" t="s">
        <v>897</v>
      </c>
      <c r="L18" s="17" t="s">
        <v>898</v>
      </c>
      <c r="M18" s="17" t="s">
        <v>899</v>
      </c>
      <c r="N18" s="17" t="s">
        <v>900</v>
      </c>
      <c r="O18" s="17" t="s">
        <v>901</v>
      </c>
      <c r="P18" s="17" t="s">
        <v>902</v>
      </c>
      <c r="Q18" s="17" t="s">
        <v>903</v>
      </c>
      <c r="R18" s="16" t="s">
        <v>65</v>
      </c>
      <c r="S18" s="16"/>
      <c r="T18" s="19" t="s">
        <v>904</v>
      </c>
      <c r="U18" s="19" t="s">
        <v>67</v>
      </c>
    </row>
    <row r="19" customFormat="false" ht="96" hidden="false" customHeight="true" outlineLevel="0" collapsed="false">
      <c r="A19" s="16" t="n">
        <v>15</v>
      </c>
      <c r="B19" s="16" t="s">
        <v>959</v>
      </c>
      <c r="C19" s="17" t="s">
        <v>960</v>
      </c>
      <c r="D19" s="17" t="s">
        <v>961</v>
      </c>
      <c r="E19" s="16" t="n">
        <v>2023</v>
      </c>
      <c r="F19" s="17" t="s">
        <v>237</v>
      </c>
      <c r="G19" s="16" t="s">
        <v>199</v>
      </c>
      <c r="H19" s="22" t="s">
        <v>9</v>
      </c>
      <c r="I19" s="17" t="s">
        <v>223</v>
      </c>
      <c r="J19" s="17" t="s">
        <v>962</v>
      </c>
      <c r="K19" s="17" t="s">
        <v>963</v>
      </c>
      <c r="L19" s="17" t="s">
        <v>964</v>
      </c>
      <c r="M19" s="17" t="s">
        <v>965</v>
      </c>
      <c r="N19" s="17" t="s">
        <v>966</v>
      </c>
      <c r="O19" s="17" t="s">
        <v>967</v>
      </c>
      <c r="P19" s="17" t="s">
        <v>968</v>
      </c>
      <c r="Q19" s="17" t="s">
        <v>969</v>
      </c>
      <c r="R19" s="16" t="s">
        <v>65</v>
      </c>
      <c r="S19" s="16"/>
      <c r="T19" s="19" t="s">
        <v>970</v>
      </c>
      <c r="U19" s="19" t="s">
        <v>67</v>
      </c>
    </row>
    <row r="20" customFormat="false" ht="96" hidden="false" customHeight="true" outlineLevel="0" collapsed="false">
      <c r="A20" s="16" t="n">
        <v>16</v>
      </c>
      <c r="B20" s="16" t="s">
        <v>983</v>
      </c>
      <c r="C20" s="17" t="s">
        <v>984</v>
      </c>
      <c r="D20" s="17" t="s">
        <v>985</v>
      </c>
      <c r="E20" s="16" t="n">
        <v>2023</v>
      </c>
      <c r="F20" s="17" t="s">
        <v>796</v>
      </c>
      <c r="G20" s="16" t="s">
        <v>199</v>
      </c>
      <c r="H20" s="22" t="s">
        <v>9</v>
      </c>
      <c r="I20" s="17" t="s">
        <v>223</v>
      </c>
      <c r="J20" s="17" t="s">
        <v>279</v>
      </c>
      <c r="K20" s="17" t="s">
        <v>986</v>
      </c>
      <c r="L20" s="17" t="s">
        <v>987</v>
      </c>
      <c r="M20" s="17" t="s">
        <v>988</v>
      </c>
      <c r="N20" s="17" t="s">
        <v>989</v>
      </c>
      <c r="O20" s="17" t="s">
        <v>990</v>
      </c>
      <c r="P20" s="17" t="s">
        <v>991</v>
      </c>
      <c r="Q20" s="17" t="s">
        <v>992</v>
      </c>
      <c r="R20" s="16" t="s">
        <v>65</v>
      </c>
      <c r="S20" s="16"/>
      <c r="T20" s="19" t="s">
        <v>993</v>
      </c>
      <c r="U20" s="19" t="s">
        <v>67</v>
      </c>
    </row>
    <row r="21" customFormat="false" ht="96" hidden="false" customHeight="true" outlineLevel="0" collapsed="false">
      <c r="A21" s="16" t="n">
        <v>17</v>
      </c>
      <c r="B21" s="16" t="s">
        <v>1028</v>
      </c>
      <c r="C21" s="17" t="s">
        <v>1029</v>
      </c>
      <c r="D21" s="17" t="s">
        <v>1030</v>
      </c>
      <c r="E21" s="16" t="n">
        <v>2023</v>
      </c>
      <c r="F21" s="17" t="s">
        <v>209</v>
      </c>
      <c r="G21" s="16" t="s">
        <v>199</v>
      </c>
      <c r="H21" s="22" t="s">
        <v>9</v>
      </c>
      <c r="I21" s="17" t="s">
        <v>223</v>
      </c>
      <c r="J21" s="17" t="s">
        <v>224</v>
      </c>
      <c r="K21" s="17" t="s">
        <v>1031</v>
      </c>
      <c r="L21" s="17" t="s">
        <v>1032</v>
      </c>
      <c r="M21" s="17" t="s">
        <v>1033</v>
      </c>
      <c r="N21" s="17" t="s">
        <v>1034</v>
      </c>
      <c r="O21" s="17" t="s">
        <v>1035</v>
      </c>
      <c r="P21" s="17" t="s">
        <v>1036</v>
      </c>
      <c r="Q21" s="17" t="s">
        <v>1037</v>
      </c>
      <c r="R21" s="16" t="s">
        <v>103</v>
      </c>
      <c r="S21" s="19" t="s">
        <v>1038</v>
      </c>
      <c r="T21" s="19" t="s">
        <v>1039</v>
      </c>
      <c r="U21" s="19" t="s">
        <v>67</v>
      </c>
    </row>
    <row r="22" customFormat="false" ht="96" hidden="false" customHeight="true" outlineLevel="0" collapsed="false">
      <c r="A22" s="16" t="n">
        <v>18</v>
      </c>
      <c r="B22" s="16" t="s">
        <v>1494</v>
      </c>
      <c r="C22" s="17" t="s">
        <v>1495</v>
      </c>
      <c r="D22" s="17" t="s">
        <v>1496</v>
      </c>
      <c r="E22" s="16" t="n">
        <v>2021</v>
      </c>
      <c r="F22" s="17" t="s">
        <v>198</v>
      </c>
      <c r="G22" s="16" t="s">
        <v>199</v>
      </c>
      <c r="H22" s="22" t="s">
        <v>9</v>
      </c>
      <c r="I22" s="17" t="s">
        <v>223</v>
      </c>
      <c r="J22" s="17" t="s">
        <v>447</v>
      </c>
      <c r="K22" s="17" t="s">
        <v>1497</v>
      </c>
      <c r="L22" s="17" t="s">
        <v>1498</v>
      </c>
      <c r="M22" s="17" t="s">
        <v>1499</v>
      </c>
      <c r="N22" s="17" t="s">
        <v>853</v>
      </c>
      <c r="O22" s="17" t="s">
        <v>1500</v>
      </c>
      <c r="P22" s="17" t="s">
        <v>1501</v>
      </c>
      <c r="Q22" s="17" t="s">
        <v>1502</v>
      </c>
      <c r="R22" s="16" t="s">
        <v>65</v>
      </c>
      <c r="S22" s="16"/>
      <c r="T22" s="19" t="s">
        <v>1503</v>
      </c>
      <c r="U22" s="19" t="s">
        <v>67</v>
      </c>
    </row>
    <row r="23" customFormat="false" ht="96" hidden="false" customHeight="true" outlineLevel="0" collapsed="false">
      <c r="A23" s="16" t="n">
        <v>19</v>
      </c>
      <c r="B23" s="16" t="s">
        <v>1630</v>
      </c>
      <c r="C23" s="17" t="s">
        <v>1631</v>
      </c>
      <c r="D23" s="17" t="s">
        <v>1632</v>
      </c>
      <c r="E23" s="16" t="n">
        <v>2021</v>
      </c>
      <c r="F23" s="17" t="s">
        <v>661</v>
      </c>
      <c r="G23" s="16" t="s">
        <v>199</v>
      </c>
      <c r="H23" s="22" t="s">
        <v>9</v>
      </c>
      <c r="I23" s="17" t="s">
        <v>223</v>
      </c>
      <c r="J23" s="17" t="s">
        <v>279</v>
      </c>
      <c r="K23" s="17" t="s">
        <v>1633</v>
      </c>
      <c r="L23" s="17" t="s">
        <v>1634</v>
      </c>
      <c r="M23" s="17" t="s">
        <v>1635</v>
      </c>
      <c r="N23" s="17" t="s">
        <v>474</v>
      </c>
      <c r="O23" s="17" t="s">
        <v>1636</v>
      </c>
      <c r="P23" s="17" t="s">
        <v>1637</v>
      </c>
      <c r="Q23" s="17" t="s">
        <v>1638</v>
      </c>
      <c r="R23" s="16" t="s">
        <v>65</v>
      </c>
      <c r="S23" s="16"/>
      <c r="T23" s="19" t="s">
        <v>1639</v>
      </c>
      <c r="U23" s="19" t="s">
        <v>67</v>
      </c>
    </row>
    <row r="24" customFormat="false" ht="96" hidden="false" customHeight="true" outlineLevel="0" collapsed="false">
      <c r="A24" s="16" t="n">
        <v>20</v>
      </c>
      <c r="B24" s="16" t="s">
        <v>1737</v>
      </c>
      <c r="C24" s="17" t="s">
        <v>1738</v>
      </c>
      <c r="D24" s="17" t="s">
        <v>1739</v>
      </c>
      <c r="E24" s="16" t="n">
        <v>2020</v>
      </c>
      <c r="F24" s="17" t="s">
        <v>209</v>
      </c>
      <c r="G24" s="16" t="s">
        <v>199</v>
      </c>
      <c r="H24" s="22" t="s">
        <v>9</v>
      </c>
      <c r="I24" s="17" t="s">
        <v>223</v>
      </c>
      <c r="J24" s="17" t="s">
        <v>1740</v>
      </c>
      <c r="K24" s="17" t="s">
        <v>1741</v>
      </c>
      <c r="L24" s="17" t="s">
        <v>1742</v>
      </c>
      <c r="M24" s="17" t="s">
        <v>1743</v>
      </c>
      <c r="N24" s="17" t="s">
        <v>1744</v>
      </c>
      <c r="O24" s="17" t="s">
        <v>1745</v>
      </c>
      <c r="P24" s="17" t="s">
        <v>1746</v>
      </c>
      <c r="Q24" s="17" t="s">
        <v>1747</v>
      </c>
      <c r="R24" s="16" t="s">
        <v>103</v>
      </c>
      <c r="S24" s="19" t="s">
        <v>1748</v>
      </c>
      <c r="T24" s="19" t="s">
        <v>1749</v>
      </c>
      <c r="U24" s="19" t="s">
        <v>67</v>
      </c>
    </row>
    <row r="25" customFormat="false" ht="96" hidden="false" customHeight="true" outlineLevel="0" collapsed="false">
      <c r="A25" s="16" t="n">
        <v>21</v>
      </c>
      <c r="B25" s="16" t="s">
        <v>1852</v>
      </c>
      <c r="C25" s="17" t="s">
        <v>1853</v>
      </c>
      <c r="D25" s="17" t="s">
        <v>1854</v>
      </c>
      <c r="E25" s="16" t="n">
        <v>2020</v>
      </c>
      <c r="F25" s="17" t="s">
        <v>350</v>
      </c>
      <c r="G25" s="16" t="s">
        <v>199</v>
      </c>
      <c r="H25" s="22" t="s">
        <v>9</v>
      </c>
      <c r="I25" s="17" t="s">
        <v>223</v>
      </c>
      <c r="J25" s="17" t="s">
        <v>1855</v>
      </c>
      <c r="K25" s="17" t="s">
        <v>1856</v>
      </c>
      <c r="L25" s="17" t="s">
        <v>1857</v>
      </c>
      <c r="M25" s="17" t="s">
        <v>1858</v>
      </c>
      <c r="N25" s="17" t="s">
        <v>319</v>
      </c>
      <c r="O25" s="17" t="s">
        <v>1859</v>
      </c>
      <c r="P25" s="17" t="s">
        <v>1860</v>
      </c>
      <c r="Q25" s="17" t="s">
        <v>1861</v>
      </c>
      <c r="R25" s="16" t="s">
        <v>103</v>
      </c>
      <c r="S25" s="19" t="s">
        <v>1862</v>
      </c>
      <c r="T25" s="19" t="s">
        <v>1863</v>
      </c>
      <c r="U25" s="19" t="s">
        <v>67</v>
      </c>
    </row>
    <row r="26" customFormat="false" ht="96" hidden="false" customHeight="true" outlineLevel="0" collapsed="false">
      <c r="A26" s="16" t="n">
        <v>22</v>
      </c>
      <c r="B26" s="16" t="s">
        <v>1952</v>
      </c>
      <c r="C26" s="17" t="s">
        <v>1953</v>
      </c>
      <c r="D26" s="17" t="s">
        <v>1954</v>
      </c>
      <c r="E26" s="16" t="n">
        <v>2019</v>
      </c>
      <c r="F26" s="17" t="s">
        <v>237</v>
      </c>
      <c r="G26" s="16" t="s">
        <v>199</v>
      </c>
      <c r="H26" s="22" t="s">
        <v>9</v>
      </c>
      <c r="I26" s="17" t="s">
        <v>223</v>
      </c>
      <c r="J26" s="17" t="s">
        <v>1222</v>
      </c>
      <c r="K26" s="17" t="s">
        <v>1955</v>
      </c>
      <c r="L26" s="17" t="s">
        <v>1956</v>
      </c>
      <c r="M26" s="17" t="s">
        <v>1957</v>
      </c>
      <c r="N26" s="17" t="s">
        <v>1958</v>
      </c>
      <c r="O26" s="17" t="s">
        <v>1959</v>
      </c>
      <c r="P26" s="17" t="s">
        <v>1960</v>
      </c>
      <c r="Q26" s="17" t="s">
        <v>1961</v>
      </c>
      <c r="R26" s="16" t="s">
        <v>65</v>
      </c>
      <c r="S26" s="16"/>
      <c r="T26" s="19" t="s">
        <v>1962</v>
      </c>
      <c r="U26" s="19" t="s">
        <v>67</v>
      </c>
    </row>
    <row r="27" customFormat="false" ht="96" hidden="false" customHeight="true" outlineLevel="0" collapsed="false">
      <c r="A27" s="16" t="n">
        <v>23</v>
      </c>
      <c r="B27" s="16" t="s">
        <v>1963</v>
      </c>
      <c r="C27" s="17" t="s">
        <v>1964</v>
      </c>
      <c r="D27" s="17" t="s">
        <v>1965</v>
      </c>
      <c r="E27" s="16" t="n">
        <v>2019</v>
      </c>
      <c r="F27" s="17" t="s">
        <v>1966</v>
      </c>
      <c r="G27" s="16" t="s">
        <v>199</v>
      </c>
      <c r="H27" s="22" t="s">
        <v>9</v>
      </c>
      <c r="I27" s="17" t="s">
        <v>223</v>
      </c>
      <c r="J27" s="17" t="s">
        <v>1967</v>
      </c>
      <c r="K27" s="17" t="s">
        <v>1968</v>
      </c>
      <c r="L27" s="17" t="s">
        <v>1969</v>
      </c>
      <c r="M27" s="17" t="s">
        <v>1970</v>
      </c>
      <c r="N27" s="17" t="s">
        <v>1971</v>
      </c>
      <c r="O27" s="17" t="s">
        <v>1972</v>
      </c>
      <c r="P27" s="17" t="s">
        <v>1973</v>
      </c>
      <c r="Q27" s="17" t="s">
        <v>1974</v>
      </c>
      <c r="R27" s="16" t="s">
        <v>103</v>
      </c>
      <c r="S27" s="19" t="s">
        <v>1975</v>
      </c>
      <c r="T27" s="19" t="s">
        <v>1976</v>
      </c>
      <c r="U27" s="19" t="s">
        <v>67</v>
      </c>
    </row>
    <row r="28" customFormat="false" ht="96" hidden="false" customHeight="true" outlineLevel="0" collapsed="false">
      <c r="A28" s="16" t="n">
        <v>24</v>
      </c>
      <c r="B28" s="16" t="s">
        <v>2011</v>
      </c>
      <c r="C28" s="17" t="s">
        <v>2012</v>
      </c>
      <c r="D28" s="17" t="s">
        <v>2013</v>
      </c>
      <c r="E28" s="16" t="n">
        <v>2019</v>
      </c>
      <c r="F28" s="17" t="s">
        <v>661</v>
      </c>
      <c r="G28" s="16" t="s">
        <v>199</v>
      </c>
      <c r="H28" s="22" t="s">
        <v>9</v>
      </c>
      <c r="I28" s="17" t="s">
        <v>223</v>
      </c>
      <c r="J28" s="17" t="s">
        <v>2014</v>
      </c>
      <c r="K28" s="17" t="s">
        <v>2015</v>
      </c>
      <c r="L28" s="17" t="s">
        <v>2016</v>
      </c>
      <c r="M28" s="17" t="s">
        <v>2017</v>
      </c>
      <c r="N28" s="17" t="s">
        <v>2018</v>
      </c>
      <c r="O28" s="17" t="s">
        <v>2019</v>
      </c>
      <c r="P28" s="17" t="s">
        <v>2020</v>
      </c>
      <c r="Q28" s="17" t="s">
        <v>2021</v>
      </c>
      <c r="R28" s="16" t="s">
        <v>65</v>
      </c>
      <c r="S28" s="16"/>
      <c r="T28" s="19" t="s">
        <v>2022</v>
      </c>
      <c r="U28" s="19" t="s">
        <v>67</v>
      </c>
    </row>
    <row r="29" customFormat="false" ht="96" hidden="false" customHeight="true" outlineLevel="0" collapsed="false">
      <c r="A29" s="16" t="n">
        <v>25</v>
      </c>
      <c r="B29" s="16" t="s">
        <v>2068</v>
      </c>
      <c r="C29" s="17" t="s">
        <v>2069</v>
      </c>
      <c r="D29" s="17" t="s">
        <v>2070</v>
      </c>
      <c r="E29" s="16" t="n">
        <v>2018</v>
      </c>
      <c r="F29" s="17" t="s">
        <v>350</v>
      </c>
      <c r="G29" s="16" t="s">
        <v>199</v>
      </c>
      <c r="H29" s="22" t="s">
        <v>9</v>
      </c>
      <c r="I29" s="17" t="s">
        <v>223</v>
      </c>
      <c r="J29" s="17" t="s">
        <v>2071</v>
      </c>
      <c r="K29" s="17" t="s">
        <v>2072</v>
      </c>
      <c r="L29" s="17" t="s">
        <v>2073</v>
      </c>
      <c r="M29" s="17" t="s">
        <v>2074</v>
      </c>
      <c r="N29" s="17" t="s">
        <v>437</v>
      </c>
      <c r="O29" s="17" t="s">
        <v>2075</v>
      </c>
      <c r="P29" s="17" t="s">
        <v>2076</v>
      </c>
      <c r="Q29" s="17" t="s">
        <v>2077</v>
      </c>
      <c r="R29" s="16" t="s">
        <v>65</v>
      </c>
      <c r="S29" s="16"/>
      <c r="T29" s="19" t="s">
        <v>2078</v>
      </c>
      <c r="U29" s="19" t="s">
        <v>67</v>
      </c>
    </row>
    <row r="30" customFormat="false" ht="96" hidden="false" customHeight="true" outlineLevel="0" collapsed="false">
      <c r="A30" s="16" t="n">
        <v>26</v>
      </c>
      <c r="B30" s="16" t="s">
        <v>2146</v>
      </c>
      <c r="C30" s="17" t="s">
        <v>2147</v>
      </c>
      <c r="D30" s="17" t="s">
        <v>2148</v>
      </c>
      <c r="E30" s="16" t="n">
        <v>2018</v>
      </c>
      <c r="F30" s="17" t="s">
        <v>350</v>
      </c>
      <c r="G30" s="16" t="s">
        <v>199</v>
      </c>
      <c r="H30" s="22" t="s">
        <v>9</v>
      </c>
      <c r="I30" s="17" t="s">
        <v>223</v>
      </c>
      <c r="J30" s="17" t="s">
        <v>2149</v>
      </c>
      <c r="K30" s="17" t="s">
        <v>2150</v>
      </c>
      <c r="L30" s="17" t="s">
        <v>2151</v>
      </c>
      <c r="M30" s="17" t="s">
        <v>2152</v>
      </c>
      <c r="N30" s="17" t="s">
        <v>2153</v>
      </c>
      <c r="O30" s="17" t="s">
        <v>2154</v>
      </c>
      <c r="P30" s="17" t="s">
        <v>2155</v>
      </c>
      <c r="Q30" s="17" t="s">
        <v>2156</v>
      </c>
      <c r="R30" s="16" t="s">
        <v>65</v>
      </c>
      <c r="S30" s="16"/>
      <c r="T30" s="19" t="s">
        <v>2157</v>
      </c>
      <c r="U30" s="19" t="s">
        <v>67</v>
      </c>
    </row>
    <row r="31" customFormat="false" ht="96" hidden="false" customHeight="true" outlineLevel="0" collapsed="false">
      <c r="A31" s="16" t="n">
        <v>27</v>
      </c>
      <c r="B31" s="16" t="s">
        <v>2158</v>
      </c>
      <c r="C31" s="17" t="s">
        <v>2159</v>
      </c>
      <c r="D31" s="17" t="s">
        <v>2160</v>
      </c>
      <c r="E31" s="16" t="n">
        <v>2018</v>
      </c>
      <c r="F31" s="17" t="s">
        <v>209</v>
      </c>
      <c r="G31" s="16" t="s">
        <v>199</v>
      </c>
      <c r="H31" s="22" t="s">
        <v>9</v>
      </c>
      <c r="I31" s="17" t="s">
        <v>223</v>
      </c>
      <c r="J31" s="17" t="s">
        <v>2161</v>
      </c>
      <c r="K31" s="17" t="s">
        <v>2162</v>
      </c>
      <c r="L31" s="17" t="s">
        <v>2163</v>
      </c>
      <c r="M31" s="17" t="s">
        <v>2164</v>
      </c>
      <c r="N31" s="17" t="s">
        <v>2165</v>
      </c>
      <c r="O31" s="17" t="s">
        <v>2166</v>
      </c>
      <c r="P31" s="17" t="s">
        <v>2167</v>
      </c>
      <c r="Q31" s="17" t="s">
        <v>2168</v>
      </c>
      <c r="R31" s="16" t="s">
        <v>65</v>
      </c>
      <c r="S31" s="16"/>
      <c r="T31" s="19" t="s">
        <v>2169</v>
      </c>
      <c r="U31" s="19" t="s">
        <v>67</v>
      </c>
    </row>
    <row r="32" customFormat="false" ht="96" hidden="false" customHeight="true" outlineLevel="0" collapsed="false">
      <c r="A32" s="16" t="n">
        <v>28</v>
      </c>
      <c r="B32" s="16" t="s">
        <v>2232</v>
      </c>
      <c r="C32" s="17" t="s">
        <v>2233</v>
      </c>
      <c r="D32" s="17" t="s">
        <v>2234</v>
      </c>
      <c r="E32" s="16" t="n">
        <v>2017</v>
      </c>
      <c r="F32" s="17" t="s">
        <v>237</v>
      </c>
      <c r="G32" s="16" t="s">
        <v>199</v>
      </c>
      <c r="H32" s="22" t="s">
        <v>9</v>
      </c>
      <c r="I32" s="17" t="s">
        <v>223</v>
      </c>
      <c r="J32" s="17" t="s">
        <v>2235</v>
      </c>
      <c r="K32" s="17" t="s">
        <v>2236</v>
      </c>
      <c r="L32" s="17" t="s">
        <v>2237</v>
      </c>
      <c r="M32" s="17" t="s">
        <v>2238</v>
      </c>
      <c r="N32" s="17" t="s">
        <v>2239</v>
      </c>
      <c r="O32" s="17" t="s">
        <v>2240</v>
      </c>
      <c r="P32" s="17" t="s">
        <v>2241</v>
      </c>
      <c r="Q32" s="17" t="s">
        <v>2242</v>
      </c>
      <c r="R32" s="16" t="s">
        <v>65</v>
      </c>
      <c r="S32" s="16"/>
      <c r="T32" s="19" t="s">
        <v>2243</v>
      </c>
      <c r="U32" s="19" t="s">
        <v>67</v>
      </c>
    </row>
  </sheetData>
  <autoFilter ref="A4:U32"/>
  <hyperlinks>
    <hyperlink ref="S5" r:id="rId1" display="https://github.com/hanweikung/face_anon_simple"/>
    <hyperlink ref="T5" r:id="rId2" display="https://arxiv.org/abs/2411.00762"/>
    <hyperlink ref="U5" r:id="rId3" display="Search"/>
    <hyperlink ref="T6" r:id="rId4" display="https://arxiv.org/abs/2509.11249"/>
    <hyperlink ref="U6" r:id="rId5" display="Search"/>
    <hyperlink ref="S7" r:id="rId6" display="https://github.com/anilegin/AnonNET"/>
    <hyperlink ref="T7" r:id="rId7" display="https://arxiv.org/abs/2601.11635"/>
    <hyperlink ref="U7" r:id="rId8" display="Search"/>
    <hyperlink ref="T8" r:id="rId9" display="https://arxiv.org/abs/2510.01031"/>
    <hyperlink ref="U8" r:id="rId10" display="Search"/>
    <hyperlink ref="T9" r:id="rId11" display="https://arxiv.org/abs/2303.13269"/>
    <hyperlink ref="U9" r:id="rId12" display="Search"/>
    <hyperlink ref="T10" r:id="rId13" display="https://arxiv.org/abs/2406.17219"/>
    <hyperlink ref="U10" r:id="rId14" display="Search"/>
    <hyperlink ref="S11" r:id="rId15" display="https://github.com/Harxis/G2Face"/>
    <hyperlink ref="T11" r:id="rId16" display="https://arxiv.org/abs/2408.09458"/>
    <hyperlink ref="U11" r:id="rId17" display="Search"/>
    <hyperlink ref="S12" r:id="rId18" display="https://github.com/hcmlab/GANonymization"/>
    <hyperlink ref="T12" r:id="rId19" display="https://arxiv.org/abs/2305.02143"/>
    <hyperlink ref="U12" r:id="rId20" display="Search"/>
    <hyperlink ref="T13" r:id="rId21" display="https://arxiv.org/abs/2403.14790"/>
    <hyperlink ref="U13" r:id="rId22" display="Search"/>
    <hyperlink ref="S14" r:id="rId23" display="https://github.com/daizigege/CanFG"/>
    <hyperlink ref="T14" r:id="rId24" display="https://doi.org/10.1145/3664647.3680704"/>
    <hyperlink ref="U14" r:id="rId25" display="Search"/>
    <hyperlink ref="S15" r:id="rId26" display="https://github.com/chi0tzp/FALCO"/>
    <hyperlink ref="T15" r:id="rId27" display="https://arxiv.org/abs/2303.11296"/>
    <hyperlink ref="U15" r:id="rId28" display="Search"/>
    <hyperlink ref="S16" r:id="rId29" display="https://github.com/hukkelas/deep_privacy2"/>
    <hyperlink ref="T16" r:id="rId30" display="https://arxiv.org/abs/2211.09454"/>
    <hyperlink ref="U16" r:id="rId31" display="Search"/>
    <hyperlink ref="T17" r:id="rId32" display="https://openaccess.thecvf.com/content/ICCV2023/html/Wen_Divide_and_Conquer_a_Two-Step_Method_for_High_Quality_Face_ICCV_2023_paper.html"/>
    <hyperlink ref="U17" r:id="rId33" display="Search"/>
    <hyperlink ref="T18" r:id="rId34" display="https://arxiv.org/abs/2309.04228"/>
    <hyperlink ref="U18" r:id="rId35" display="Search"/>
    <hyperlink ref="T19" r:id="rId36" display="https://arxiv.org/abs/2302.08931"/>
    <hyperlink ref="U19" r:id="rId37" display="Search"/>
    <hyperlink ref="T20" r:id="rId38" display="https://arxiv.org/abs/2211.01361"/>
    <hyperlink ref="U20" r:id="rId39" display="Search"/>
    <hyperlink ref="S21" r:id="rId40" display="https://github.com/DongzeLi-CASIA/RiDDLE"/>
    <hyperlink ref="T21" r:id="rId41" display="https://arxiv.org/abs/2303.05171"/>
    <hyperlink ref="U21" r:id="rId42" display="Search"/>
    <hyperlink ref="T22" r:id="rId43" display="https://doi.org/10.1145/3474085.3475367"/>
    <hyperlink ref="U22" r:id="rId44" display="Search"/>
    <hyperlink ref="T23" r:id="rId45" display="https://openaccess.thecvf.com/content/ICCV2021/html/Cao_Personalized_and_Invertible_Face_De-Identification_by_Disentangled_Identity_Information_Manipulation_ICCV_2021_paper.html"/>
    <hyperlink ref="U23" r:id="rId46" display="Search"/>
    <hyperlink ref="S24" r:id="rId47" display="https://github.com/dvl-tum/ciagan"/>
    <hyperlink ref="T24" r:id="rId48" display="https://arxiv.org/abs/2005.09544"/>
    <hyperlink ref="U24" r:id="rId49" display="Search"/>
    <hyperlink ref="S25" r:id="rId50" display="https://github.com/laoreja/face-identity-transformer"/>
    <hyperlink ref="T25" r:id="rId51" display="https://arxiv.org/abs/1911.11759"/>
    <hyperlink ref="U25" r:id="rId52" display="Search"/>
    <hyperlink ref="T26" r:id="rId53" display="https://arxiv.org/abs/1904.12620"/>
    <hyperlink ref="U26" r:id="rId54" display="Search"/>
    <hyperlink ref="S27" r:id="rId55" display="https://github.com/hukkelas/DeepPrivacy"/>
    <hyperlink ref="T27" r:id="rId56" display="https://arxiv.org/abs/1909.04538"/>
    <hyperlink ref="U27" r:id="rId57" display="Search"/>
    <hyperlink ref="T28" r:id="rId58" display="https://arxiv.org/abs/1911.08348"/>
    <hyperlink ref="U28" r:id="rId59" display="Search"/>
    <hyperlink ref="T29" r:id="rId60" display="https://arxiv.org/abs/1804.04779"/>
    <hyperlink ref="U29" r:id="rId61" display="Search"/>
    <hyperlink ref="T30" r:id="rId62" display="https://arxiv.org/abs/1803.11556"/>
    <hyperlink ref="U30" r:id="rId63" display="Search"/>
    <hyperlink ref="T31" r:id="rId64" display="https://arxiv.org/abs/1711.09001"/>
    <hyperlink ref="U31" r:id="rId65" display="Search"/>
    <hyperlink ref="T32" r:id="rId66" display="https://doi.org/10.1109/CVPRW.2017.173"/>
    <hyperlink ref="U32" r:id="rId6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8"/>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11</v>
      </c>
    </row>
    <row r="2" customFormat="false" ht="15" hidden="false" customHeight="false" outlineLevel="0" collapsed="false">
      <c r="A2" s="14" t="s">
        <v>2711</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122</v>
      </c>
      <c r="C5" s="17" t="s">
        <v>123</v>
      </c>
      <c r="D5" s="17" t="s">
        <v>124</v>
      </c>
      <c r="E5" s="16" t="n">
        <v>2026</v>
      </c>
      <c r="F5" s="17" t="s">
        <v>71</v>
      </c>
      <c r="G5" s="16" t="s">
        <v>56</v>
      </c>
      <c r="H5" s="21" t="s">
        <v>11</v>
      </c>
      <c r="I5" s="17" t="s">
        <v>125</v>
      </c>
      <c r="J5" s="17" t="s">
        <v>126</v>
      </c>
      <c r="K5" s="17" t="s">
        <v>127</v>
      </c>
      <c r="L5" s="17" t="s">
        <v>128</v>
      </c>
      <c r="M5" s="17" t="s">
        <v>129</v>
      </c>
      <c r="N5" s="17" t="s">
        <v>130</v>
      </c>
      <c r="O5" s="17" t="s">
        <v>131</v>
      </c>
      <c r="P5" s="17" t="s">
        <v>132</v>
      </c>
      <c r="Q5" s="17" t="s">
        <v>133</v>
      </c>
      <c r="R5" s="16" t="s">
        <v>65</v>
      </c>
      <c r="S5" s="16"/>
      <c r="T5" s="19" t="s">
        <v>134</v>
      </c>
      <c r="U5" s="19" t="s">
        <v>67</v>
      </c>
    </row>
    <row r="6" customFormat="false" ht="96" hidden="false" customHeight="true" outlineLevel="0" collapsed="false">
      <c r="A6" s="16" t="n">
        <v>2</v>
      </c>
      <c r="B6" s="16" t="s">
        <v>172</v>
      </c>
      <c r="C6" s="17" t="s">
        <v>173</v>
      </c>
      <c r="D6" s="17" t="s">
        <v>174</v>
      </c>
      <c r="E6" s="16" t="n">
        <v>2025</v>
      </c>
      <c r="F6" s="17" t="s">
        <v>71</v>
      </c>
      <c r="G6" s="16" t="s">
        <v>56</v>
      </c>
      <c r="H6" s="21" t="s">
        <v>11</v>
      </c>
      <c r="I6" s="17" t="s">
        <v>125</v>
      </c>
      <c r="J6" s="17" t="s">
        <v>126</v>
      </c>
      <c r="K6" s="17" t="s">
        <v>175</v>
      </c>
      <c r="L6" s="17" t="s">
        <v>176</v>
      </c>
      <c r="M6" s="17" t="s">
        <v>177</v>
      </c>
      <c r="N6" s="17" t="s">
        <v>178</v>
      </c>
      <c r="O6" s="17" t="s">
        <v>179</v>
      </c>
      <c r="P6" s="17" t="s">
        <v>77</v>
      </c>
      <c r="Q6" s="17" t="s">
        <v>180</v>
      </c>
      <c r="R6" s="16" t="s">
        <v>65</v>
      </c>
      <c r="S6" s="16"/>
      <c r="T6" s="19" t="s">
        <v>181</v>
      </c>
      <c r="U6" s="19" t="s">
        <v>67</v>
      </c>
    </row>
    <row r="7" customFormat="false" ht="96" hidden="false" customHeight="true" outlineLevel="0" collapsed="false">
      <c r="A7" s="16" t="n">
        <v>3</v>
      </c>
      <c r="B7" s="16" t="s">
        <v>182</v>
      </c>
      <c r="C7" s="17" t="s">
        <v>183</v>
      </c>
      <c r="D7" s="17" t="s">
        <v>184</v>
      </c>
      <c r="E7" s="16" t="n">
        <v>2025</v>
      </c>
      <c r="F7" s="17" t="s">
        <v>185</v>
      </c>
      <c r="G7" s="16" t="s">
        <v>84</v>
      </c>
      <c r="H7" s="21" t="s">
        <v>11</v>
      </c>
      <c r="I7" s="17" t="s">
        <v>125</v>
      </c>
      <c r="J7" s="17" t="s">
        <v>186</v>
      </c>
      <c r="K7" s="17" t="s">
        <v>187</v>
      </c>
      <c r="L7" s="17" t="s">
        <v>188</v>
      </c>
      <c r="M7" s="17" t="s">
        <v>189</v>
      </c>
      <c r="N7" s="17" t="s">
        <v>130</v>
      </c>
      <c r="O7" s="17" t="s">
        <v>190</v>
      </c>
      <c r="P7" s="17" t="s">
        <v>191</v>
      </c>
      <c r="Q7" s="17" t="s">
        <v>192</v>
      </c>
      <c r="R7" s="16" t="s">
        <v>103</v>
      </c>
      <c r="S7" s="19" t="s">
        <v>193</v>
      </c>
      <c r="T7" s="19" t="s">
        <v>194</v>
      </c>
      <c r="U7" s="19" t="s">
        <v>67</v>
      </c>
    </row>
    <row r="8" customFormat="false" ht="96" hidden="false" customHeight="true" outlineLevel="0" collapsed="false">
      <c r="A8" s="16" t="n">
        <v>4</v>
      </c>
      <c r="B8" s="16" t="s">
        <v>195</v>
      </c>
      <c r="C8" s="17" t="s">
        <v>196</v>
      </c>
      <c r="D8" s="17" t="s">
        <v>197</v>
      </c>
      <c r="E8" s="16" t="n">
        <v>2025</v>
      </c>
      <c r="F8" s="17" t="s">
        <v>198</v>
      </c>
      <c r="G8" s="16" t="s">
        <v>199</v>
      </c>
      <c r="H8" s="21" t="s">
        <v>11</v>
      </c>
      <c r="I8" s="17" t="s">
        <v>125</v>
      </c>
      <c r="J8" s="17" t="s">
        <v>186</v>
      </c>
      <c r="K8" s="17" t="s">
        <v>200</v>
      </c>
      <c r="L8" s="17" t="s">
        <v>201</v>
      </c>
      <c r="M8" s="17" t="s">
        <v>202</v>
      </c>
      <c r="N8" s="17" t="s">
        <v>130</v>
      </c>
      <c r="O8" s="17" t="s">
        <v>131</v>
      </c>
      <c r="P8" s="17" t="s">
        <v>203</v>
      </c>
      <c r="Q8" s="17" t="s">
        <v>204</v>
      </c>
      <c r="R8" s="16" t="s">
        <v>65</v>
      </c>
      <c r="S8" s="16"/>
      <c r="T8" s="19" t="s">
        <v>205</v>
      </c>
      <c r="U8" s="19" t="s">
        <v>67</v>
      </c>
    </row>
    <row r="9" customFormat="false" ht="96" hidden="false" customHeight="true" outlineLevel="0" collapsed="false">
      <c r="A9" s="16" t="n">
        <v>5</v>
      </c>
      <c r="B9" s="16" t="s">
        <v>206</v>
      </c>
      <c r="C9" s="17" t="s">
        <v>207</v>
      </c>
      <c r="D9" s="17" t="s">
        <v>208</v>
      </c>
      <c r="E9" s="16" t="n">
        <v>2025</v>
      </c>
      <c r="F9" s="17" t="s">
        <v>209</v>
      </c>
      <c r="G9" s="16" t="s">
        <v>199</v>
      </c>
      <c r="H9" s="21" t="s">
        <v>11</v>
      </c>
      <c r="I9" s="17" t="s">
        <v>125</v>
      </c>
      <c r="J9" s="17" t="s">
        <v>186</v>
      </c>
      <c r="K9" s="17" t="s">
        <v>210</v>
      </c>
      <c r="L9" s="17" t="s">
        <v>211</v>
      </c>
      <c r="M9" s="17" t="s">
        <v>212</v>
      </c>
      <c r="N9" s="17" t="s">
        <v>213</v>
      </c>
      <c r="O9" s="17" t="s">
        <v>214</v>
      </c>
      <c r="P9" s="17" t="s">
        <v>215</v>
      </c>
      <c r="Q9" s="17" t="s">
        <v>216</v>
      </c>
      <c r="R9" s="16" t="s">
        <v>103</v>
      </c>
      <c r="S9" s="19" t="s">
        <v>217</v>
      </c>
      <c r="T9" s="19" t="s">
        <v>218</v>
      </c>
      <c r="U9" s="19" t="s">
        <v>67</v>
      </c>
    </row>
    <row r="10" customFormat="false" ht="96" hidden="false" customHeight="true" outlineLevel="0" collapsed="false">
      <c r="A10" s="16" t="n">
        <v>6</v>
      </c>
      <c r="B10" s="16" t="s">
        <v>302</v>
      </c>
      <c r="C10" s="17" t="s">
        <v>303</v>
      </c>
      <c r="D10" s="17" t="s">
        <v>304</v>
      </c>
      <c r="E10" s="16" t="n">
        <v>2025</v>
      </c>
      <c r="F10" s="17" t="s">
        <v>71</v>
      </c>
      <c r="G10" s="16" t="s">
        <v>56</v>
      </c>
      <c r="H10" s="21" t="s">
        <v>11</v>
      </c>
      <c r="I10" s="17" t="s">
        <v>125</v>
      </c>
      <c r="J10" s="17" t="s">
        <v>305</v>
      </c>
      <c r="K10" s="17" t="s">
        <v>306</v>
      </c>
      <c r="L10" s="17" t="s">
        <v>307</v>
      </c>
      <c r="M10" s="17" t="s">
        <v>308</v>
      </c>
      <c r="N10" s="17" t="s">
        <v>309</v>
      </c>
      <c r="O10" s="17" t="s">
        <v>310</v>
      </c>
      <c r="P10" s="17" t="s">
        <v>77</v>
      </c>
      <c r="Q10" s="17" t="s">
        <v>311</v>
      </c>
      <c r="R10" s="16" t="s">
        <v>65</v>
      </c>
      <c r="S10" s="16"/>
      <c r="T10" s="19" t="s">
        <v>312</v>
      </c>
      <c r="U10" s="19" t="s">
        <v>67</v>
      </c>
    </row>
    <row r="11" customFormat="false" ht="96" hidden="false" customHeight="true" outlineLevel="0" collapsed="false">
      <c r="A11" s="16" t="n">
        <v>7</v>
      </c>
      <c r="B11" s="16" t="s">
        <v>373</v>
      </c>
      <c r="C11" s="17" t="s">
        <v>374</v>
      </c>
      <c r="D11" s="17" t="s">
        <v>375</v>
      </c>
      <c r="E11" s="16" t="n">
        <v>2024</v>
      </c>
      <c r="F11" s="17" t="s">
        <v>209</v>
      </c>
      <c r="G11" s="16" t="s">
        <v>199</v>
      </c>
      <c r="H11" s="21" t="s">
        <v>11</v>
      </c>
      <c r="I11" s="17" t="s">
        <v>125</v>
      </c>
      <c r="J11" s="17" t="s">
        <v>376</v>
      </c>
      <c r="K11" s="17" t="s">
        <v>377</v>
      </c>
      <c r="L11" s="17" t="s">
        <v>378</v>
      </c>
      <c r="M11" s="17" t="s">
        <v>379</v>
      </c>
      <c r="N11" s="17" t="s">
        <v>130</v>
      </c>
      <c r="O11" s="17" t="s">
        <v>380</v>
      </c>
      <c r="P11" s="17" t="s">
        <v>381</v>
      </c>
      <c r="Q11" s="17" t="s">
        <v>382</v>
      </c>
      <c r="R11" s="16" t="s">
        <v>103</v>
      </c>
      <c r="S11" s="19" t="s">
        <v>383</v>
      </c>
      <c r="T11" s="19" t="s">
        <v>384</v>
      </c>
      <c r="U11" s="19" t="s">
        <v>67</v>
      </c>
    </row>
    <row r="12" customFormat="false" ht="96" hidden="false" customHeight="true" outlineLevel="0" collapsed="false">
      <c r="A12" s="16" t="n">
        <v>8</v>
      </c>
      <c r="B12" s="16" t="s">
        <v>567</v>
      </c>
      <c r="C12" s="17" t="s">
        <v>568</v>
      </c>
      <c r="D12" s="17" t="s">
        <v>569</v>
      </c>
      <c r="E12" s="16" t="n">
        <v>2024</v>
      </c>
      <c r="F12" s="17" t="s">
        <v>350</v>
      </c>
      <c r="G12" s="16" t="s">
        <v>199</v>
      </c>
      <c r="H12" s="21" t="s">
        <v>11</v>
      </c>
      <c r="I12" s="17" t="s">
        <v>125</v>
      </c>
      <c r="J12" s="17" t="s">
        <v>279</v>
      </c>
      <c r="K12" s="17" t="s">
        <v>570</v>
      </c>
      <c r="L12" s="17" t="s">
        <v>571</v>
      </c>
      <c r="M12" s="17" t="s">
        <v>572</v>
      </c>
      <c r="N12" s="17" t="s">
        <v>573</v>
      </c>
      <c r="O12" s="17" t="s">
        <v>574</v>
      </c>
      <c r="P12" s="17" t="s">
        <v>575</v>
      </c>
      <c r="Q12" s="17" t="s">
        <v>576</v>
      </c>
      <c r="R12" s="16" t="s">
        <v>65</v>
      </c>
      <c r="S12" s="16"/>
      <c r="T12" s="19" t="s">
        <v>577</v>
      </c>
      <c r="U12" s="19" t="s">
        <v>67</v>
      </c>
    </row>
    <row r="13" customFormat="false" ht="96" hidden="false" customHeight="true" outlineLevel="0" collapsed="false">
      <c r="A13" s="16" t="n">
        <v>9</v>
      </c>
      <c r="B13" s="16" t="s">
        <v>732</v>
      </c>
      <c r="C13" s="17" t="s">
        <v>733</v>
      </c>
      <c r="D13" s="17" t="s">
        <v>734</v>
      </c>
      <c r="E13" s="16" t="n">
        <v>2023</v>
      </c>
      <c r="F13" s="17" t="s">
        <v>209</v>
      </c>
      <c r="G13" s="16" t="s">
        <v>199</v>
      </c>
      <c r="H13" s="21" t="s">
        <v>11</v>
      </c>
      <c r="I13" s="17" t="s">
        <v>125</v>
      </c>
      <c r="J13" s="17" t="s">
        <v>186</v>
      </c>
      <c r="K13" s="17" t="s">
        <v>735</v>
      </c>
      <c r="L13" s="17" t="s">
        <v>736</v>
      </c>
      <c r="M13" s="17" t="s">
        <v>737</v>
      </c>
      <c r="N13" s="17" t="s">
        <v>130</v>
      </c>
      <c r="O13" s="17" t="s">
        <v>738</v>
      </c>
      <c r="P13" s="17" t="s">
        <v>739</v>
      </c>
      <c r="Q13" s="17" t="s">
        <v>740</v>
      </c>
      <c r="R13" s="16" t="s">
        <v>103</v>
      </c>
      <c r="S13" s="19" t="s">
        <v>741</v>
      </c>
      <c r="T13" s="19" t="s">
        <v>742</v>
      </c>
      <c r="U13" s="19" t="s">
        <v>67</v>
      </c>
    </row>
    <row r="14" customFormat="false" ht="96" hidden="false" customHeight="true" outlineLevel="0" collapsed="false">
      <c r="A14" s="16" t="n">
        <v>10</v>
      </c>
      <c r="B14" s="16" t="s">
        <v>1134</v>
      </c>
      <c r="C14" s="17" t="s">
        <v>1135</v>
      </c>
      <c r="D14" s="17" t="s">
        <v>1136</v>
      </c>
      <c r="E14" s="16" t="n">
        <v>2022</v>
      </c>
      <c r="F14" s="17" t="s">
        <v>1137</v>
      </c>
      <c r="G14" s="16" t="s">
        <v>148</v>
      </c>
      <c r="H14" s="21" t="s">
        <v>11</v>
      </c>
      <c r="I14" s="17" t="s">
        <v>125</v>
      </c>
      <c r="J14" s="17" t="s">
        <v>1138</v>
      </c>
      <c r="K14" s="17" t="s">
        <v>1139</v>
      </c>
      <c r="L14" s="17" t="s">
        <v>1140</v>
      </c>
      <c r="M14" s="17" t="s">
        <v>1141</v>
      </c>
      <c r="N14" s="17" t="s">
        <v>1142</v>
      </c>
      <c r="O14" s="17" t="s">
        <v>1143</v>
      </c>
      <c r="P14" s="17" t="s">
        <v>1144</v>
      </c>
      <c r="Q14" s="17" t="s">
        <v>1145</v>
      </c>
      <c r="R14" s="16" t="s">
        <v>103</v>
      </c>
      <c r="S14" s="19" t="s">
        <v>1146</v>
      </c>
      <c r="T14" s="19" t="s">
        <v>1147</v>
      </c>
      <c r="U14" s="19" t="s">
        <v>67</v>
      </c>
    </row>
    <row r="15" customFormat="false" ht="96" hidden="false" customHeight="true" outlineLevel="0" collapsed="false">
      <c r="A15" s="16" t="n">
        <v>11</v>
      </c>
      <c r="B15" s="16" t="s">
        <v>1148</v>
      </c>
      <c r="C15" s="17" t="s">
        <v>1149</v>
      </c>
      <c r="D15" s="17" t="s">
        <v>1150</v>
      </c>
      <c r="E15" s="16" t="n">
        <v>2022</v>
      </c>
      <c r="F15" s="17" t="s">
        <v>772</v>
      </c>
      <c r="G15" s="16" t="s">
        <v>84</v>
      </c>
      <c r="H15" s="21" t="s">
        <v>11</v>
      </c>
      <c r="I15" s="17" t="s">
        <v>125</v>
      </c>
      <c r="J15" s="17" t="s">
        <v>114</v>
      </c>
      <c r="K15" s="17" t="s">
        <v>1151</v>
      </c>
      <c r="L15" s="17" t="s">
        <v>1152</v>
      </c>
      <c r="M15" s="17" t="s">
        <v>1153</v>
      </c>
      <c r="N15" s="17" t="s">
        <v>1154</v>
      </c>
      <c r="O15" s="17" t="s">
        <v>1155</v>
      </c>
      <c r="P15" s="17" t="s">
        <v>1156</v>
      </c>
      <c r="Q15" s="17" t="s">
        <v>1157</v>
      </c>
      <c r="R15" s="16" t="s">
        <v>103</v>
      </c>
      <c r="S15" s="19" t="s">
        <v>1158</v>
      </c>
      <c r="T15" s="19" t="s">
        <v>1159</v>
      </c>
      <c r="U15" s="19" t="s">
        <v>67</v>
      </c>
    </row>
    <row r="16" customFormat="false" ht="96" hidden="false" customHeight="true" outlineLevel="0" collapsed="false">
      <c r="A16" s="16" t="n">
        <v>12</v>
      </c>
      <c r="B16" s="16" t="s">
        <v>1309</v>
      </c>
      <c r="C16" s="17" t="s">
        <v>1310</v>
      </c>
      <c r="D16" s="17" t="s">
        <v>1311</v>
      </c>
      <c r="E16" s="16" t="n">
        <v>2022</v>
      </c>
      <c r="F16" s="17" t="s">
        <v>772</v>
      </c>
      <c r="G16" s="16" t="s">
        <v>84</v>
      </c>
      <c r="H16" s="21" t="s">
        <v>11</v>
      </c>
      <c r="I16" s="17" t="s">
        <v>125</v>
      </c>
      <c r="J16" s="17" t="s">
        <v>1312</v>
      </c>
      <c r="K16" s="17" t="s">
        <v>1313</v>
      </c>
      <c r="L16" s="17" t="s">
        <v>1314</v>
      </c>
      <c r="M16" s="17" t="s">
        <v>1315</v>
      </c>
      <c r="N16" s="17" t="s">
        <v>1316</v>
      </c>
      <c r="O16" s="17" t="s">
        <v>1317</v>
      </c>
      <c r="P16" s="17" t="s">
        <v>1318</v>
      </c>
      <c r="Q16" s="17" t="s">
        <v>1319</v>
      </c>
      <c r="R16" s="16" t="s">
        <v>103</v>
      </c>
      <c r="S16" s="19" t="s">
        <v>1320</v>
      </c>
      <c r="T16" s="19" t="s">
        <v>1321</v>
      </c>
      <c r="U16" s="19" t="s">
        <v>67</v>
      </c>
    </row>
    <row r="17" customFormat="false" ht="96" hidden="false" customHeight="true" outlineLevel="0" collapsed="false">
      <c r="A17" s="16" t="n">
        <v>13</v>
      </c>
      <c r="B17" s="16" t="s">
        <v>1343</v>
      </c>
      <c r="C17" s="17" t="s">
        <v>1344</v>
      </c>
      <c r="D17" s="17" t="s">
        <v>1345</v>
      </c>
      <c r="E17" s="16" t="n">
        <v>2022</v>
      </c>
      <c r="F17" s="17" t="s">
        <v>209</v>
      </c>
      <c r="G17" s="16" t="s">
        <v>199</v>
      </c>
      <c r="H17" s="21" t="s">
        <v>11</v>
      </c>
      <c r="I17" s="17" t="s">
        <v>125</v>
      </c>
      <c r="J17" s="17" t="s">
        <v>1346</v>
      </c>
      <c r="K17" s="17" t="s">
        <v>1347</v>
      </c>
      <c r="L17" s="17" t="s">
        <v>1348</v>
      </c>
      <c r="M17" s="17" t="s">
        <v>1349</v>
      </c>
      <c r="N17" s="17" t="s">
        <v>1350</v>
      </c>
      <c r="O17" s="17" t="s">
        <v>380</v>
      </c>
      <c r="P17" s="17" t="s">
        <v>1351</v>
      </c>
      <c r="Q17" s="17" t="s">
        <v>1352</v>
      </c>
      <c r="R17" s="16" t="s">
        <v>103</v>
      </c>
      <c r="S17" s="19" t="s">
        <v>1353</v>
      </c>
      <c r="T17" s="19" t="s">
        <v>1354</v>
      </c>
      <c r="U17" s="19" t="s">
        <v>67</v>
      </c>
    </row>
    <row r="18" customFormat="false" ht="96" hidden="false" customHeight="true" outlineLevel="0" collapsed="false">
      <c r="A18" s="16" t="n">
        <v>14</v>
      </c>
      <c r="B18" s="16" t="s">
        <v>1390</v>
      </c>
      <c r="C18" s="17" t="s">
        <v>1391</v>
      </c>
      <c r="D18" s="17" t="s">
        <v>1392</v>
      </c>
      <c r="E18" s="16" t="n">
        <v>2022</v>
      </c>
      <c r="F18" s="17" t="s">
        <v>445</v>
      </c>
      <c r="G18" s="16" t="s">
        <v>446</v>
      </c>
      <c r="H18" s="21" t="s">
        <v>11</v>
      </c>
      <c r="I18" s="17" t="s">
        <v>125</v>
      </c>
      <c r="J18" s="17" t="s">
        <v>1393</v>
      </c>
      <c r="K18" s="17" t="s">
        <v>1394</v>
      </c>
      <c r="L18" s="17" t="s">
        <v>1395</v>
      </c>
      <c r="M18" s="17" t="s">
        <v>1396</v>
      </c>
      <c r="N18" s="17" t="s">
        <v>1397</v>
      </c>
      <c r="O18" s="17" t="s">
        <v>549</v>
      </c>
      <c r="P18" s="17" t="s">
        <v>1398</v>
      </c>
      <c r="Q18" s="17" t="s">
        <v>1399</v>
      </c>
      <c r="R18" s="16" t="s">
        <v>65</v>
      </c>
      <c r="S18" s="16"/>
      <c r="T18" s="19" t="s">
        <v>1400</v>
      </c>
      <c r="U18" s="19" t="s">
        <v>67</v>
      </c>
    </row>
    <row r="19" customFormat="false" ht="96" hidden="false" customHeight="true" outlineLevel="0" collapsed="false">
      <c r="A19" s="16" t="n">
        <v>15</v>
      </c>
      <c r="B19" s="16" t="s">
        <v>1411</v>
      </c>
      <c r="C19" s="17" t="s">
        <v>1412</v>
      </c>
      <c r="D19" s="17" t="s">
        <v>1413</v>
      </c>
      <c r="E19" s="16" t="n">
        <v>2021</v>
      </c>
      <c r="F19" s="17" t="s">
        <v>1414</v>
      </c>
      <c r="G19" s="16" t="s">
        <v>148</v>
      </c>
      <c r="H19" s="21" t="s">
        <v>11</v>
      </c>
      <c r="I19" s="17" t="s">
        <v>125</v>
      </c>
      <c r="J19" s="17" t="s">
        <v>85</v>
      </c>
      <c r="K19" s="17" t="s">
        <v>1415</v>
      </c>
      <c r="L19" s="17" t="s">
        <v>1416</v>
      </c>
      <c r="M19" s="17" t="s">
        <v>1417</v>
      </c>
      <c r="N19" s="17" t="s">
        <v>1418</v>
      </c>
      <c r="O19" s="17" t="s">
        <v>1419</v>
      </c>
      <c r="P19" s="17" t="s">
        <v>1420</v>
      </c>
      <c r="Q19" s="17" t="s">
        <v>1421</v>
      </c>
      <c r="R19" s="16" t="s">
        <v>103</v>
      </c>
      <c r="S19" s="19" t="s">
        <v>1422</v>
      </c>
      <c r="T19" s="19" t="s">
        <v>1423</v>
      </c>
      <c r="U19" s="19" t="s">
        <v>67</v>
      </c>
    </row>
    <row r="20" customFormat="false" ht="96" hidden="false" customHeight="true" outlineLevel="0" collapsed="false">
      <c r="A20" s="16" t="n">
        <v>16</v>
      </c>
      <c r="B20" s="16" t="s">
        <v>1456</v>
      </c>
      <c r="C20" s="17" t="s">
        <v>1457</v>
      </c>
      <c r="D20" s="17" t="s">
        <v>1458</v>
      </c>
      <c r="E20" s="16" t="n">
        <v>2021</v>
      </c>
      <c r="F20" s="17" t="s">
        <v>445</v>
      </c>
      <c r="G20" s="16" t="s">
        <v>446</v>
      </c>
      <c r="H20" s="21" t="s">
        <v>11</v>
      </c>
      <c r="I20" s="17" t="s">
        <v>125</v>
      </c>
      <c r="J20" s="17" t="s">
        <v>1459</v>
      </c>
      <c r="K20" s="17" t="s">
        <v>1460</v>
      </c>
      <c r="L20" s="17" t="s">
        <v>1461</v>
      </c>
      <c r="M20" s="17" t="s">
        <v>1462</v>
      </c>
      <c r="N20" s="17" t="s">
        <v>1463</v>
      </c>
      <c r="O20" s="17" t="s">
        <v>1464</v>
      </c>
      <c r="P20" s="17" t="s">
        <v>1465</v>
      </c>
      <c r="Q20" s="17" t="s">
        <v>1466</v>
      </c>
      <c r="R20" s="16" t="s">
        <v>103</v>
      </c>
      <c r="S20" s="19" t="s">
        <v>1467</v>
      </c>
      <c r="T20" s="19" t="s">
        <v>1468</v>
      </c>
      <c r="U20" s="19" t="s">
        <v>67</v>
      </c>
    </row>
    <row r="21" customFormat="false" ht="96" hidden="false" customHeight="true" outlineLevel="0" collapsed="false">
      <c r="A21" s="16" t="n">
        <v>17</v>
      </c>
      <c r="B21" s="16" t="s">
        <v>1481</v>
      </c>
      <c r="C21" s="17" t="s">
        <v>1482</v>
      </c>
      <c r="D21" s="17" t="s">
        <v>1483</v>
      </c>
      <c r="E21" s="16" t="n">
        <v>2021</v>
      </c>
      <c r="F21" s="17" t="s">
        <v>445</v>
      </c>
      <c r="G21" s="16" t="s">
        <v>446</v>
      </c>
      <c r="H21" s="21" t="s">
        <v>11</v>
      </c>
      <c r="I21" s="17" t="s">
        <v>125</v>
      </c>
      <c r="J21" s="17" t="s">
        <v>1484</v>
      </c>
      <c r="K21" s="17" t="s">
        <v>1485</v>
      </c>
      <c r="L21" s="17" t="s">
        <v>1486</v>
      </c>
      <c r="M21" s="17" t="s">
        <v>1487</v>
      </c>
      <c r="N21" s="17" t="s">
        <v>1488</v>
      </c>
      <c r="O21" s="17" t="s">
        <v>1489</v>
      </c>
      <c r="P21" s="17" t="s">
        <v>1490</v>
      </c>
      <c r="Q21" s="17" t="s">
        <v>1491</v>
      </c>
      <c r="R21" s="16" t="s">
        <v>103</v>
      </c>
      <c r="S21" s="19" t="s">
        <v>1492</v>
      </c>
      <c r="T21" s="19" t="s">
        <v>1493</v>
      </c>
      <c r="U21" s="19" t="s">
        <v>67</v>
      </c>
    </row>
    <row r="22" customFormat="false" ht="96" hidden="false" customHeight="true" outlineLevel="0" collapsed="false">
      <c r="A22" s="16" t="n">
        <v>18</v>
      </c>
      <c r="B22" s="16" t="s">
        <v>1504</v>
      </c>
      <c r="C22" s="17" t="s">
        <v>1505</v>
      </c>
      <c r="D22" s="17" t="s">
        <v>1506</v>
      </c>
      <c r="E22" s="16" t="n">
        <v>2021</v>
      </c>
      <c r="F22" s="17" t="s">
        <v>209</v>
      </c>
      <c r="G22" s="16" t="s">
        <v>199</v>
      </c>
      <c r="H22" s="21" t="s">
        <v>11</v>
      </c>
      <c r="I22" s="17" t="s">
        <v>125</v>
      </c>
      <c r="J22" s="17" t="s">
        <v>85</v>
      </c>
      <c r="K22" s="17" t="s">
        <v>1507</v>
      </c>
      <c r="L22" s="17" t="s">
        <v>1508</v>
      </c>
      <c r="M22" s="17" t="s">
        <v>1509</v>
      </c>
      <c r="N22" s="17" t="s">
        <v>1510</v>
      </c>
      <c r="O22" s="17" t="s">
        <v>1511</v>
      </c>
      <c r="P22" s="17" t="s">
        <v>1512</v>
      </c>
      <c r="Q22" s="17" t="s">
        <v>1513</v>
      </c>
      <c r="R22" s="16" t="s">
        <v>65</v>
      </c>
      <c r="S22" s="16"/>
      <c r="T22" s="19" t="s">
        <v>1514</v>
      </c>
      <c r="U22" s="19" t="s">
        <v>67</v>
      </c>
    </row>
    <row r="23" customFormat="false" ht="96" hidden="false" customHeight="true" outlineLevel="0" collapsed="false">
      <c r="A23" s="16" t="n">
        <v>19</v>
      </c>
      <c r="B23" s="16" t="s">
        <v>1558</v>
      </c>
      <c r="C23" s="17" t="s">
        <v>1559</v>
      </c>
      <c r="D23" s="17" t="s">
        <v>1560</v>
      </c>
      <c r="E23" s="16" t="n">
        <v>2021</v>
      </c>
      <c r="F23" s="17" t="s">
        <v>327</v>
      </c>
      <c r="G23" s="16" t="s">
        <v>148</v>
      </c>
      <c r="H23" s="21" t="s">
        <v>11</v>
      </c>
      <c r="I23" s="17" t="s">
        <v>125</v>
      </c>
      <c r="J23" s="17" t="s">
        <v>1561</v>
      </c>
      <c r="K23" s="17" t="s">
        <v>1562</v>
      </c>
      <c r="L23" s="17" t="s">
        <v>1563</v>
      </c>
      <c r="M23" s="17" t="s">
        <v>1564</v>
      </c>
      <c r="N23" s="17" t="s">
        <v>1565</v>
      </c>
      <c r="O23" s="17" t="s">
        <v>1566</v>
      </c>
      <c r="P23" s="17" t="s">
        <v>1567</v>
      </c>
      <c r="Q23" s="17" t="s">
        <v>1568</v>
      </c>
      <c r="R23" s="16" t="s">
        <v>103</v>
      </c>
      <c r="S23" s="19" t="s">
        <v>1569</v>
      </c>
      <c r="T23" s="19" t="s">
        <v>1570</v>
      </c>
      <c r="U23" s="19" t="s">
        <v>67</v>
      </c>
    </row>
    <row r="24" customFormat="false" ht="96" hidden="false" customHeight="true" outlineLevel="0" collapsed="false">
      <c r="A24" s="16" t="n">
        <v>20</v>
      </c>
      <c r="B24" s="16" t="s">
        <v>1596</v>
      </c>
      <c r="C24" s="17" t="s">
        <v>1597</v>
      </c>
      <c r="D24" s="17" t="s">
        <v>1598</v>
      </c>
      <c r="E24" s="16" t="n">
        <v>2021</v>
      </c>
      <c r="F24" s="17" t="s">
        <v>445</v>
      </c>
      <c r="G24" s="16" t="s">
        <v>446</v>
      </c>
      <c r="H24" s="21" t="s">
        <v>11</v>
      </c>
      <c r="I24" s="17" t="s">
        <v>125</v>
      </c>
      <c r="J24" s="17" t="s">
        <v>1459</v>
      </c>
      <c r="K24" s="17" t="s">
        <v>1599</v>
      </c>
      <c r="L24" s="17" t="s">
        <v>1600</v>
      </c>
      <c r="M24" s="17" t="s">
        <v>1601</v>
      </c>
      <c r="N24" s="17" t="s">
        <v>1602</v>
      </c>
      <c r="O24" s="17" t="s">
        <v>1603</v>
      </c>
      <c r="P24" s="17" t="s">
        <v>1604</v>
      </c>
      <c r="Q24" s="17" t="s">
        <v>1605</v>
      </c>
      <c r="R24" s="16" t="s">
        <v>65</v>
      </c>
      <c r="S24" s="16"/>
      <c r="T24" s="19" t="s">
        <v>1606</v>
      </c>
      <c r="U24" s="19" t="s">
        <v>67</v>
      </c>
    </row>
    <row r="25" customFormat="false" ht="96" hidden="false" customHeight="true" outlineLevel="0" collapsed="false">
      <c r="A25" s="16" t="n">
        <v>21</v>
      </c>
      <c r="B25" s="16" t="s">
        <v>1673</v>
      </c>
      <c r="C25" s="17" t="s">
        <v>1674</v>
      </c>
      <c r="D25" s="17" t="s">
        <v>1675</v>
      </c>
      <c r="E25" s="16" t="n">
        <v>2021</v>
      </c>
      <c r="F25" s="17" t="s">
        <v>661</v>
      </c>
      <c r="G25" s="16" t="s">
        <v>199</v>
      </c>
      <c r="H25" s="21" t="s">
        <v>11</v>
      </c>
      <c r="I25" s="17" t="s">
        <v>125</v>
      </c>
      <c r="J25" s="17" t="s">
        <v>1676</v>
      </c>
      <c r="K25" s="17" t="s">
        <v>1677</v>
      </c>
      <c r="L25" s="17" t="s">
        <v>1678</v>
      </c>
      <c r="M25" s="17" t="s">
        <v>1679</v>
      </c>
      <c r="N25" s="17" t="s">
        <v>1680</v>
      </c>
      <c r="O25" s="17" t="s">
        <v>1681</v>
      </c>
      <c r="P25" s="17" t="s">
        <v>1682</v>
      </c>
      <c r="Q25" s="17" t="s">
        <v>1683</v>
      </c>
      <c r="R25" s="16" t="s">
        <v>103</v>
      </c>
      <c r="S25" s="19" t="s">
        <v>1684</v>
      </c>
      <c r="T25" s="19" t="s">
        <v>1685</v>
      </c>
      <c r="U25" s="19" t="s">
        <v>67</v>
      </c>
    </row>
    <row r="26" customFormat="false" ht="96" hidden="false" customHeight="true" outlineLevel="0" collapsed="false">
      <c r="A26" s="16" t="n">
        <v>22</v>
      </c>
      <c r="B26" s="16" t="s">
        <v>1712</v>
      </c>
      <c r="C26" s="17" t="s">
        <v>1713</v>
      </c>
      <c r="D26" s="17" t="s">
        <v>1714</v>
      </c>
      <c r="E26" s="16" t="n">
        <v>2020</v>
      </c>
      <c r="F26" s="17" t="s">
        <v>1277</v>
      </c>
      <c r="G26" s="16" t="s">
        <v>1164</v>
      </c>
      <c r="H26" s="21" t="s">
        <v>11</v>
      </c>
      <c r="I26" s="17" t="s">
        <v>125</v>
      </c>
      <c r="J26" s="17" t="s">
        <v>1715</v>
      </c>
      <c r="K26" s="17" t="s">
        <v>1716</v>
      </c>
      <c r="L26" s="17" t="s">
        <v>1717</v>
      </c>
      <c r="M26" s="17" t="s">
        <v>1718</v>
      </c>
      <c r="N26" s="17" t="s">
        <v>1719</v>
      </c>
      <c r="O26" s="17" t="s">
        <v>1681</v>
      </c>
      <c r="P26" s="17" t="s">
        <v>1720</v>
      </c>
      <c r="Q26" s="17" t="s">
        <v>1721</v>
      </c>
      <c r="R26" s="16" t="s">
        <v>65</v>
      </c>
      <c r="S26" s="16"/>
      <c r="T26" s="19" t="s">
        <v>1722</v>
      </c>
      <c r="U26" s="19" t="s">
        <v>67</v>
      </c>
    </row>
    <row r="27" customFormat="false" ht="96" hidden="false" customHeight="true" outlineLevel="0" collapsed="false">
      <c r="A27" s="16" t="n">
        <v>23</v>
      </c>
      <c r="B27" s="16" t="s">
        <v>1723</v>
      </c>
      <c r="C27" s="17" t="s">
        <v>1724</v>
      </c>
      <c r="D27" s="17" t="s">
        <v>1725</v>
      </c>
      <c r="E27" s="16" t="n">
        <v>2020</v>
      </c>
      <c r="F27" s="17" t="s">
        <v>1726</v>
      </c>
      <c r="G27" s="16" t="s">
        <v>199</v>
      </c>
      <c r="H27" s="21" t="s">
        <v>11</v>
      </c>
      <c r="I27" s="17" t="s">
        <v>125</v>
      </c>
      <c r="J27" s="17" t="s">
        <v>1727</v>
      </c>
      <c r="K27" s="17" t="s">
        <v>1728</v>
      </c>
      <c r="L27" s="17" t="s">
        <v>1729</v>
      </c>
      <c r="M27" s="17" t="s">
        <v>1730</v>
      </c>
      <c r="N27" s="17" t="s">
        <v>1731</v>
      </c>
      <c r="O27" s="17" t="s">
        <v>1732</v>
      </c>
      <c r="P27" s="17" t="s">
        <v>1733</v>
      </c>
      <c r="Q27" s="17" t="s">
        <v>1734</v>
      </c>
      <c r="R27" s="16" t="s">
        <v>103</v>
      </c>
      <c r="S27" s="19" t="s">
        <v>1735</v>
      </c>
      <c r="T27" s="19" t="s">
        <v>1736</v>
      </c>
      <c r="U27" s="19" t="s">
        <v>67</v>
      </c>
    </row>
    <row r="28" customFormat="false" ht="96" hidden="false" customHeight="true" outlineLevel="0" collapsed="false">
      <c r="A28" s="16" t="n">
        <v>24</v>
      </c>
      <c r="B28" s="16" t="s">
        <v>1784</v>
      </c>
      <c r="C28" s="17" t="s">
        <v>1785</v>
      </c>
      <c r="D28" s="17" t="s">
        <v>1786</v>
      </c>
      <c r="E28" s="16" t="n">
        <v>2020</v>
      </c>
      <c r="F28" s="17" t="s">
        <v>883</v>
      </c>
      <c r="G28" s="16" t="s">
        <v>446</v>
      </c>
      <c r="H28" s="21" t="s">
        <v>11</v>
      </c>
      <c r="I28" s="17" t="s">
        <v>125</v>
      </c>
      <c r="J28" s="17" t="s">
        <v>1787</v>
      </c>
      <c r="K28" s="17" t="s">
        <v>1788</v>
      </c>
      <c r="L28" s="17" t="s">
        <v>1789</v>
      </c>
      <c r="M28" s="17" t="s">
        <v>1790</v>
      </c>
      <c r="N28" s="17" t="s">
        <v>1791</v>
      </c>
      <c r="O28" s="17" t="s">
        <v>1792</v>
      </c>
      <c r="P28" s="17" t="s">
        <v>1793</v>
      </c>
      <c r="Q28" s="17" t="s">
        <v>1794</v>
      </c>
      <c r="R28" s="16" t="s">
        <v>103</v>
      </c>
      <c r="S28" s="19" t="s">
        <v>1795</v>
      </c>
      <c r="T28" s="19" t="s">
        <v>1796</v>
      </c>
      <c r="U28" s="19" t="s">
        <v>67</v>
      </c>
    </row>
    <row r="29" customFormat="false" ht="96" hidden="false" customHeight="true" outlineLevel="0" collapsed="false">
      <c r="A29" s="16" t="n">
        <v>25</v>
      </c>
      <c r="B29" s="16" t="s">
        <v>1928</v>
      </c>
      <c r="C29" s="17" t="s">
        <v>1929</v>
      </c>
      <c r="D29" s="17" t="s">
        <v>1930</v>
      </c>
      <c r="E29" s="16" t="n">
        <v>2019</v>
      </c>
      <c r="F29" s="17" t="s">
        <v>1931</v>
      </c>
      <c r="G29" s="16" t="s">
        <v>446</v>
      </c>
      <c r="H29" s="21" t="s">
        <v>11</v>
      </c>
      <c r="I29" s="17" t="s">
        <v>125</v>
      </c>
      <c r="J29" s="17" t="s">
        <v>1932</v>
      </c>
      <c r="K29" s="17" t="s">
        <v>1933</v>
      </c>
      <c r="L29" s="17" t="s">
        <v>1934</v>
      </c>
      <c r="M29" s="17" t="s">
        <v>1935</v>
      </c>
      <c r="N29" s="17" t="s">
        <v>1936</v>
      </c>
      <c r="O29" s="17" t="s">
        <v>1937</v>
      </c>
      <c r="P29" s="17" t="s">
        <v>1938</v>
      </c>
      <c r="Q29" s="17" t="s">
        <v>1939</v>
      </c>
      <c r="R29" s="16" t="s">
        <v>65</v>
      </c>
      <c r="S29" s="16"/>
      <c r="T29" s="19" t="s">
        <v>1940</v>
      </c>
      <c r="U29" s="19" t="s">
        <v>67</v>
      </c>
    </row>
    <row r="30" customFormat="false" ht="96" hidden="false" customHeight="true" outlineLevel="0" collapsed="false">
      <c r="A30" s="16" t="n">
        <v>26</v>
      </c>
      <c r="B30" s="16" t="s">
        <v>2136</v>
      </c>
      <c r="C30" s="17" t="s">
        <v>2137</v>
      </c>
      <c r="D30" s="17" t="s">
        <v>2138</v>
      </c>
      <c r="E30" s="16" t="n">
        <v>2018</v>
      </c>
      <c r="F30" s="17" t="s">
        <v>71</v>
      </c>
      <c r="G30" s="16" t="s">
        <v>56</v>
      </c>
      <c r="H30" s="21" t="s">
        <v>11</v>
      </c>
      <c r="I30" s="17" t="s">
        <v>125</v>
      </c>
      <c r="J30" s="17" t="s">
        <v>1980</v>
      </c>
      <c r="K30" s="17" t="s">
        <v>1485</v>
      </c>
      <c r="L30" s="17" t="s">
        <v>2139</v>
      </c>
      <c r="M30" s="17" t="s">
        <v>2140</v>
      </c>
      <c r="N30" s="17" t="s">
        <v>2141</v>
      </c>
      <c r="O30" s="17" t="s">
        <v>2142</v>
      </c>
      <c r="P30" s="17" t="s">
        <v>2143</v>
      </c>
      <c r="Q30" s="17" t="s">
        <v>2144</v>
      </c>
      <c r="R30" s="16" t="s">
        <v>65</v>
      </c>
      <c r="S30" s="16"/>
      <c r="T30" s="19" t="s">
        <v>2145</v>
      </c>
      <c r="U30" s="19" t="s">
        <v>67</v>
      </c>
    </row>
    <row r="31" customFormat="false" ht="96" hidden="false" customHeight="true" outlineLevel="0" collapsed="false">
      <c r="A31" s="16" t="n">
        <v>27</v>
      </c>
      <c r="B31" s="16" t="s">
        <v>2220</v>
      </c>
      <c r="C31" s="17" t="s">
        <v>2221</v>
      </c>
      <c r="D31" s="17" t="s">
        <v>2222</v>
      </c>
      <c r="E31" s="16" t="n">
        <v>2017</v>
      </c>
      <c r="F31" s="17" t="s">
        <v>661</v>
      </c>
      <c r="G31" s="16" t="s">
        <v>199</v>
      </c>
      <c r="H31" s="21" t="s">
        <v>11</v>
      </c>
      <c r="I31" s="17" t="s">
        <v>125</v>
      </c>
      <c r="J31" s="17" t="s">
        <v>2223</v>
      </c>
      <c r="K31" s="17" t="s">
        <v>2224</v>
      </c>
      <c r="L31" s="17" t="s">
        <v>2225</v>
      </c>
      <c r="M31" s="17" t="s">
        <v>2226</v>
      </c>
      <c r="N31" s="17" t="s">
        <v>2227</v>
      </c>
      <c r="O31" s="17" t="s">
        <v>2228</v>
      </c>
      <c r="P31" s="17" t="s">
        <v>2229</v>
      </c>
      <c r="Q31" s="17" t="s">
        <v>2230</v>
      </c>
      <c r="R31" s="16" t="s">
        <v>65</v>
      </c>
      <c r="S31" s="16"/>
      <c r="T31" s="19" t="s">
        <v>2231</v>
      </c>
      <c r="U31" s="19" t="s">
        <v>67</v>
      </c>
    </row>
    <row r="32" customFormat="false" ht="96" hidden="false" customHeight="true" outlineLevel="0" collapsed="false">
      <c r="A32" s="16" t="n">
        <v>28</v>
      </c>
      <c r="B32" s="16" t="s">
        <v>2278</v>
      </c>
      <c r="C32" s="17" t="s">
        <v>2279</v>
      </c>
      <c r="D32" s="17" t="s">
        <v>1930</v>
      </c>
      <c r="E32" s="16" t="n">
        <v>2016</v>
      </c>
      <c r="F32" s="17" t="s">
        <v>2280</v>
      </c>
      <c r="G32" s="16" t="s">
        <v>446</v>
      </c>
      <c r="H32" s="21" t="s">
        <v>11</v>
      </c>
      <c r="I32" s="17" t="s">
        <v>125</v>
      </c>
      <c r="J32" s="17" t="s">
        <v>2281</v>
      </c>
      <c r="K32" s="17" t="s">
        <v>2282</v>
      </c>
      <c r="L32" s="17" t="s">
        <v>2283</v>
      </c>
      <c r="M32" s="17" t="s">
        <v>2284</v>
      </c>
      <c r="N32" s="17" t="s">
        <v>2285</v>
      </c>
      <c r="O32" s="17" t="s">
        <v>2286</v>
      </c>
      <c r="P32" s="17" t="s">
        <v>2287</v>
      </c>
      <c r="Q32" s="17" t="s">
        <v>2288</v>
      </c>
      <c r="R32" s="16" t="s">
        <v>65</v>
      </c>
      <c r="S32" s="16"/>
      <c r="T32" s="19" t="s">
        <v>2289</v>
      </c>
      <c r="U32" s="19" t="s">
        <v>67</v>
      </c>
    </row>
    <row r="33" customFormat="false" ht="96" hidden="false" customHeight="true" outlineLevel="0" collapsed="false">
      <c r="A33" s="16" t="n">
        <v>29</v>
      </c>
      <c r="B33" s="16" t="s">
        <v>2414</v>
      </c>
      <c r="C33" s="17" t="s">
        <v>2415</v>
      </c>
      <c r="D33" s="17" t="s">
        <v>2416</v>
      </c>
      <c r="E33" s="16" t="n">
        <v>2015</v>
      </c>
      <c r="F33" s="17" t="s">
        <v>2417</v>
      </c>
      <c r="G33" s="16" t="s">
        <v>162</v>
      </c>
      <c r="H33" s="21" t="s">
        <v>11</v>
      </c>
      <c r="I33" s="17" t="s">
        <v>125</v>
      </c>
      <c r="J33" s="17" t="s">
        <v>1109</v>
      </c>
      <c r="K33" s="17" t="s">
        <v>2418</v>
      </c>
      <c r="L33" s="17" t="s">
        <v>2419</v>
      </c>
      <c r="M33" s="17" t="s">
        <v>2420</v>
      </c>
      <c r="N33" s="17" t="s">
        <v>2421</v>
      </c>
      <c r="O33" s="17" t="s">
        <v>2422</v>
      </c>
      <c r="P33" s="17" t="s">
        <v>2423</v>
      </c>
      <c r="Q33" s="17" t="s">
        <v>2424</v>
      </c>
      <c r="R33" s="16" t="s">
        <v>65</v>
      </c>
      <c r="S33" s="16"/>
      <c r="T33" s="19" t="s">
        <v>2425</v>
      </c>
      <c r="U33" s="19" t="s">
        <v>67</v>
      </c>
    </row>
    <row r="34" customFormat="false" ht="96" hidden="false" customHeight="true" outlineLevel="0" collapsed="false">
      <c r="A34" s="16" t="n">
        <v>30</v>
      </c>
      <c r="B34" s="16" t="s">
        <v>2461</v>
      </c>
      <c r="C34" s="17" t="s">
        <v>2462</v>
      </c>
      <c r="D34" s="17" t="s">
        <v>2463</v>
      </c>
      <c r="E34" s="16" t="n">
        <v>2010</v>
      </c>
      <c r="F34" s="17" t="s">
        <v>2464</v>
      </c>
      <c r="G34" s="16" t="s">
        <v>162</v>
      </c>
      <c r="H34" s="21" t="s">
        <v>11</v>
      </c>
      <c r="I34" s="17" t="s">
        <v>125</v>
      </c>
      <c r="J34" s="17" t="s">
        <v>1109</v>
      </c>
      <c r="K34" s="17" t="s">
        <v>2465</v>
      </c>
      <c r="L34" s="17" t="s">
        <v>2466</v>
      </c>
      <c r="M34" s="17" t="s">
        <v>2467</v>
      </c>
      <c r="N34" s="17" t="s">
        <v>2468</v>
      </c>
      <c r="O34" s="17" t="s">
        <v>2469</v>
      </c>
      <c r="P34" s="17" t="s">
        <v>2470</v>
      </c>
      <c r="Q34" s="17" t="s">
        <v>2471</v>
      </c>
      <c r="R34" s="16" t="s">
        <v>65</v>
      </c>
      <c r="S34" s="16"/>
      <c r="T34" s="19" t="s">
        <v>2472</v>
      </c>
      <c r="U34" s="19" t="s">
        <v>67</v>
      </c>
    </row>
  </sheetData>
  <autoFilter ref="A4:U34"/>
  <hyperlinks>
    <hyperlink ref="T5" r:id="rId1" display="https://arxiv.org/abs/2606.17606"/>
    <hyperlink ref="U5" r:id="rId2" display="Search"/>
    <hyperlink ref="T6" r:id="rId3" display="https://arxiv.org/abs/2503.10549"/>
    <hyperlink ref="U6" r:id="rId4" display="Search"/>
    <hyperlink ref="S7" r:id="rId5" display="https://github.com/joellliu/DiffProtect"/>
    <hyperlink ref="T7" r:id="rId6" display="https://arxiv.org/abs/2305.13625"/>
    <hyperlink ref="U7" r:id="rId7" display="Search"/>
    <hyperlink ref="T8" r:id="rId8" display="https://arxiv.org/abs/2504.21646"/>
    <hyperlink ref="U8" r:id="rId9" display="Search"/>
    <hyperlink ref="S9" r:id="rId10" display="https://github.com/parham1998/Facial-Privacy-Protection"/>
    <hyperlink ref="T9" r:id="rId11" display="https://openaccess.thecvf.com/content/CVPR2025/html/Salar_Enhancing_Facial_Privacy_Protection_via_Weakening_Diffusion_Purification_CVPR_2025_paper.html"/>
    <hyperlink ref="U9" r:id="rId12" display="Search"/>
    <hyperlink ref="T10" r:id="rId13" display="https://arxiv.org/abs/2508.02034"/>
    <hyperlink ref="U10" r:id="rId14" display="Search"/>
    <hyperlink ref="S11" r:id="rId15" display="https://github.com/HansSunY/DiffAM"/>
    <hyperlink ref="T11" r:id="rId16" display="https://arxiv.org/abs/2405.09882"/>
    <hyperlink ref="U11" r:id="rId17" display="Search"/>
    <hyperlink ref="T12" r:id="rId18" display="https://arxiv.org/abs/2407.13975"/>
    <hyperlink ref="U12" r:id="rId19" display="Search"/>
    <hyperlink ref="S13" r:id="rId20" display="https://github.com/fahadshamshad/Clip2Protect"/>
    <hyperlink ref="T13" r:id="rId21" display="https://arxiv.org/abs/2306.10008"/>
    <hyperlink ref="U13" r:id="rId22" display="Search"/>
    <hyperlink ref="S14" r:id="rId23" display="https://github.com/AlonZolfi/AdversarialMask"/>
    <hyperlink ref="T14" r:id="rId24" display="https://arxiv.org/abs/2111.10759"/>
    <hyperlink ref="U14" r:id="rId25" display="Search"/>
    <hyperlink ref="S15" r:id="rId26" display="https://github.com/jinyugy21/Adv-Stickers_RHDE"/>
    <hyperlink ref="T15" r:id="rId27" display="https://arxiv.org/abs/2104.06728"/>
    <hyperlink ref="U15" r:id="rId28" display="Search"/>
    <hyperlink ref="S16" r:id="rId29" display="https://github.com/zhongyy/OPOM"/>
    <hyperlink ref="T16" r:id="rId30" display="https://arxiv.org/abs/2205.11981"/>
    <hyperlink ref="U16" r:id="rId31" display="Search"/>
    <hyperlink ref="S17" r:id="rId32" display="https://github.com/CGCL-codes/AMT-GAN"/>
    <hyperlink ref="T17" r:id="rId33" display="https://arxiv.org/abs/2203.03121"/>
    <hyperlink ref="U17" r:id="rId34" display="Search"/>
    <hyperlink ref="T18" r:id="rId35" display="https://doi.org/10.2478/popets-2022-0008"/>
    <hyperlink ref="U18" r:id="rId36" display="Search"/>
    <hyperlink ref="S19" r:id="rId37" display="https://github.com/TencentYoutuResearch/Adv-Makeup"/>
    <hyperlink ref="T19" r:id="rId38" display="https://arxiv.org/abs/2105.03162"/>
    <hyperlink ref="U19" r:id="rId39" display="Search"/>
    <hyperlink ref="S20" r:id="rId40" display="https://github.com/wi-pi/face-off"/>
    <hyperlink ref="T20" r:id="rId41" display="https://doi.org/10.2478/popets-2021-0032"/>
    <hyperlink ref="U20" r:id="rId42" display="Search"/>
    <hyperlink ref="S21" r:id="rId43" display="https://github.com/evtimovi/foggysight"/>
    <hyperlink ref="T21" r:id="rId44" display="https://doi.org/10.2478/popets-2021-0044"/>
    <hyperlink ref="U21" r:id="rId45" display="Search"/>
    <hyperlink ref="T22" r:id="rId46" display="https://arxiv.org/abs/2106.15058"/>
    <hyperlink ref="U22" r:id="rId47" display="Search"/>
    <hyperlink ref="S23" r:id="rId48" display="https://lowkey.umiacs.umd.edu"/>
    <hyperlink ref="T23" r:id="rId49" display="https://arxiv.org/abs/2101.07922"/>
    <hyperlink ref="U23" r:id="rId50" display="Search"/>
    <hyperlink ref="T24" r:id="rId51" display="https://doi.org/10.2478/popets-2021-0006"/>
    <hyperlink ref="U24" r:id="rId52" display="Search"/>
    <hyperlink ref="S25" r:id="rId53" display="https://github.com/ShawnXYang/TIP-IM"/>
    <hyperlink ref="T25" r:id="rId54" display="https://arxiv.org/abs/2003.06814"/>
    <hyperlink ref="U25" r:id="rId55" display="Search"/>
    <hyperlink ref="T26" r:id="rId56" display="https://arxiv.org/abs/1908.05008"/>
    <hyperlink ref="U26" r:id="rId57" display="Search"/>
    <hyperlink ref="S27" r:id="rId58" display="https://github.com/papermsucode/advhat"/>
    <hyperlink ref="T27" r:id="rId59" display="https://arxiv.org/abs/1908.08705"/>
    <hyperlink ref="U27" r:id="rId60" display="Search"/>
    <hyperlink ref="S28" r:id="rId61" display="https://github.com/Shawn-Shan/fawkes"/>
    <hyperlink ref="T28" r:id="rId62" display="https://arxiv.org/abs/2002.08327"/>
    <hyperlink ref="U28" r:id="rId63" display="Search"/>
    <hyperlink ref="T29" r:id="rId64" display="https://arxiv.org/abs/1801.00349"/>
    <hyperlink ref="U29" r:id="rId65" display="Search"/>
    <hyperlink ref="T30" r:id="rId66" display="https://arxiv.org/abs/1803.04683"/>
    <hyperlink ref="U30" r:id="rId67" display="Search"/>
    <hyperlink ref="T31" r:id="rId68" display="https://arxiv.org/abs/1703.09471"/>
    <hyperlink ref="U31" r:id="rId69" display="Search"/>
    <hyperlink ref="T32" r:id="rId70" display="https://doi.org/10.1145/2976749.2978392"/>
    <hyperlink ref="U32" r:id="rId71" display="Search"/>
    <hyperlink ref="T33" r:id="rId72" display="https://www.reflectacles.com"/>
    <hyperlink ref="U33" r:id="rId73" display="Search"/>
    <hyperlink ref="T34" r:id="rId74" display="https://cvdazzle.com"/>
    <hyperlink ref="U34" r:id="rId75"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13</v>
      </c>
    </row>
    <row r="2" customFormat="false" ht="15" hidden="false" customHeight="false" outlineLevel="0" collapsed="false">
      <c r="A2" s="14" t="s">
        <v>2712</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255</v>
      </c>
      <c r="C5" s="17" t="s">
        <v>256</v>
      </c>
      <c r="D5" s="17" t="s">
        <v>257</v>
      </c>
      <c r="E5" s="16" t="n">
        <v>2025</v>
      </c>
      <c r="F5" s="17" t="s">
        <v>209</v>
      </c>
      <c r="G5" s="16" t="s">
        <v>199</v>
      </c>
      <c r="H5" s="21" t="s">
        <v>13</v>
      </c>
      <c r="I5" s="17" t="s">
        <v>125</v>
      </c>
      <c r="J5" s="17" t="s">
        <v>224</v>
      </c>
      <c r="K5" s="17" t="s">
        <v>258</v>
      </c>
      <c r="L5" s="17" t="s">
        <v>259</v>
      </c>
      <c r="M5" s="17" t="s">
        <v>260</v>
      </c>
      <c r="N5" s="17" t="s">
        <v>261</v>
      </c>
      <c r="O5" s="17" t="s">
        <v>262</v>
      </c>
      <c r="P5" s="17" t="s">
        <v>263</v>
      </c>
      <c r="Q5" s="17" t="s">
        <v>264</v>
      </c>
      <c r="R5" s="16" t="s">
        <v>65</v>
      </c>
      <c r="S5" s="16"/>
      <c r="T5" s="19" t="s">
        <v>265</v>
      </c>
      <c r="U5" s="19" t="s">
        <v>67</v>
      </c>
    </row>
    <row r="6" customFormat="false" ht="96" hidden="false" customHeight="true" outlineLevel="0" collapsed="false">
      <c r="A6" s="16" t="n">
        <v>2</v>
      </c>
      <c r="B6" s="16" t="s">
        <v>398</v>
      </c>
      <c r="C6" s="17" t="s">
        <v>399</v>
      </c>
      <c r="D6" s="17" t="s">
        <v>400</v>
      </c>
      <c r="E6" s="16" t="n">
        <v>2024</v>
      </c>
      <c r="F6" s="17" t="s">
        <v>71</v>
      </c>
      <c r="G6" s="16" t="s">
        <v>56</v>
      </c>
      <c r="H6" s="21" t="s">
        <v>13</v>
      </c>
      <c r="I6" s="17" t="s">
        <v>125</v>
      </c>
      <c r="J6" s="17" t="s">
        <v>126</v>
      </c>
      <c r="K6" s="17" t="s">
        <v>401</v>
      </c>
      <c r="L6" s="17" t="s">
        <v>402</v>
      </c>
      <c r="M6" s="17" t="s">
        <v>403</v>
      </c>
      <c r="N6" s="17" t="s">
        <v>404</v>
      </c>
      <c r="O6" s="17" t="s">
        <v>262</v>
      </c>
      <c r="P6" s="17" t="s">
        <v>405</v>
      </c>
      <c r="Q6" s="17" t="s">
        <v>406</v>
      </c>
      <c r="R6" s="16" t="s">
        <v>65</v>
      </c>
      <c r="S6" s="16"/>
      <c r="T6" s="19" t="s">
        <v>407</v>
      </c>
      <c r="U6" s="19" t="s">
        <v>67</v>
      </c>
    </row>
    <row r="7" customFormat="false" ht="96" hidden="false" customHeight="true" outlineLevel="0" collapsed="false">
      <c r="A7" s="16" t="n">
        <v>3</v>
      </c>
      <c r="B7" s="16" t="s">
        <v>540</v>
      </c>
      <c r="C7" s="17" t="s">
        <v>541</v>
      </c>
      <c r="D7" s="17" t="s">
        <v>542</v>
      </c>
      <c r="E7" s="16" t="n">
        <v>2024</v>
      </c>
      <c r="F7" s="17" t="s">
        <v>543</v>
      </c>
      <c r="G7" s="16" t="s">
        <v>199</v>
      </c>
      <c r="H7" s="21" t="s">
        <v>13</v>
      </c>
      <c r="I7" s="17" t="s">
        <v>125</v>
      </c>
      <c r="J7" s="17" t="s">
        <v>544</v>
      </c>
      <c r="K7" s="17" t="s">
        <v>545</v>
      </c>
      <c r="L7" s="17" t="s">
        <v>546</v>
      </c>
      <c r="M7" s="17" t="s">
        <v>547</v>
      </c>
      <c r="N7" s="17" t="s">
        <v>548</v>
      </c>
      <c r="O7" s="17" t="s">
        <v>549</v>
      </c>
      <c r="P7" s="17" t="s">
        <v>550</v>
      </c>
      <c r="Q7" s="17" t="s">
        <v>551</v>
      </c>
      <c r="R7" s="16" t="s">
        <v>103</v>
      </c>
      <c r="S7" s="19" t="s">
        <v>552</v>
      </c>
      <c r="T7" s="19" t="s">
        <v>553</v>
      </c>
      <c r="U7" s="19" t="s">
        <v>67</v>
      </c>
    </row>
    <row r="8" customFormat="false" ht="96" hidden="false" customHeight="true" outlineLevel="0" collapsed="false">
      <c r="A8" s="16" t="n">
        <v>4</v>
      </c>
      <c r="B8" s="16" t="s">
        <v>554</v>
      </c>
      <c r="C8" s="17" t="s">
        <v>555</v>
      </c>
      <c r="D8" s="17" t="s">
        <v>556</v>
      </c>
      <c r="E8" s="16" t="n">
        <v>2024</v>
      </c>
      <c r="F8" s="17" t="s">
        <v>557</v>
      </c>
      <c r="G8" s="16" t="s">
        <v>446</v>
      </c>
      <c r="H8" s="21" t="s">
        <v>13</v>
      </c>
      <c r="I8" s="17" t="s">
        <v>125</v>
      </c>
      <c r="J8" s="17" t="s">
        <v>558</v>
      </c>
      <c r="K8" s="17" t="s">
        <v>559</v>
      </c>
      <c r="L8" s="17" t="s">
        <v>560</v>
      </c>
      <c r="M8" s="17" t="s">
        <v>561</v>
      </c>
      <c r="N8" s="17" t="s">
        <v>562</v>
      </c>
      <c r="O8" s="17" t="s">
        <v>563</v>
      </c>
      <c r="P8" s="17" t="s">
        <v>564</v>
      </c>
      <c r="Q8" s="17" t="s">
        <v>565</v>
      </c>
      <c r="R8" s="16" t="s">
        <v>65</v>
      </c>
      <c r="S8" s="16"/>
      <c r="T8" s="19" t="s">
        <v>566</v>
      </c>
      <c r="U8" s="19" t="s">
        <v>67</v>
      </c>
    </row>
    <row r="9" customFormat="false" ht="96" hidden="false" customHeight="true" outlineLevel="0" collapsed="false">
      <c r="A9" s="16" t="n">
        <v>5</v>
      </c>
      <c r="B9" s="16" t="s">
        <v>578</v>
      </c>
      <c r="C9" s="17" t="s">
        <v>579</v>
      </c>
      <c r="D9" s="17" t="s">
        <v>580</v>
      </c>
      <c r="E9" s="16" t="n">
        <v>2024</v>
      </c>
      <c r="F9" s="17" t="s">
        <v>209</v>
      </c>
      <c r="G9" s="16" t="s">
        <v>199</v>
      </c>
      <c r="H9" s="21" t="s">
        <v>13</v>
      </c>
      <c r="I9" s="17" t="s">
        <v>125</v>
      </c>
      <c r="J9" s="17" t="s">
        <v>544</v>
      </c>
      <c r="K9" s="17" t="s">
        <v>581</v>
      </c>
      <c r="L9" s="17" t="s">
        <v>582</v>
      </c>
      <c r="M9" s="17" t="s">
        <v>583</v>
      </c>
      <c r="N9" s="17" t="s">
        <v>584</v>
      </c>
      <c r="O9" s="17" t="s">
        <v>585</v>
      </c>
      <c r="P9" s="17" t="s">
        <v>586</v>
      </c>
      <c r="Q9" s="17" t="s">
        <v>587</v>
      </c>
      <c r="R9" s="16" t="s">
        <v>65</v>
      </c>
      <c r="S9" s="16"/>
      <c r="T9" s="19" t="s">
        <v>588</v>
      </c>
      <c r="U9" s="19" t="s">
        <v>67</v>
      </c>
    </row>
    <row r="10" customFormat="false" ht="96" hidden="false" customHeight="true" outlineLevel="0" collapsed="false">
      <c r="A10" s="16" t="n">
        <v>6</v>
      </c>
      <c r="B10" s="16" t="s">
        <v>616</v>
      </c>
      <c r="C10" s="17" t="s">
        <v>617</v>
      </c>
      <c r="D10" s="17" t="s">
        <v>618</v>
      </c>
      <c r="E10" s="16" t="n">
        <v>2024</v>
      </c>
      <c r="F10" s="17" t="s">
        <v>209</v>
      </c>
      <c r="G10" s="16" t="s">
        <v>199</v>
      </c>
      <c r="H10" s="21" t="s">
        <v>13</v>
      </c>
      <c r="I10" s="17" t="s">
        <v>125</v>
      </c>
      <c r="J10" s="17" t="s">
        <v>544</v>
      </c>
      <c r="K10" s="17" t="s">
        <v>619</v>
      </c>
      <c r="L10" s="17" t="s">
        <v>620</v>
      </c>
      <c r="M10" s="17" t="s">
        <v>621</v>
      </c>
      <c r="N10" s="17" t="s">
        <v>622</v>
      </c>
      <c r="O10" s="17" t="s">
        <v>549</v>
      </c>
      <c r="P10" s="17" t="s">
        <v>623</v>
      </c>
      <c r="Q10" s="17" t="s">
        <v>624</v>
      </c>
      <c r="R10" s="16" t="s">
        <v>103</v>
      </c>
      <c r="S10" s="19" t="s">
        <v>625</v>
      </c>
      <c r="T10" s="19" t="s">
        <v>626</v>
      </c>
      <c r="U10" s="19" t="s">
        <v>67</v>
      </c>
    </row>
    <row r="11" customFormat="false" ht="96" hidden="false" customHeight="true" outlineLevel="0" collapsed="false">
      <c r="A11" s="16" t="n">
        <v>7</v>
      </c>
      <c r="B11" s="16" t="s">
        <v>672</v>
      </c>
      <c r="C11" s="17" t="s">
        <v>673</v>
      </c>
      <c r="D11" s="17" t="s">
        <v>674</v>
      </c>
      <c r="E11" s="16" t="n">
        <v>2023</v>
      </c>
      <c r="F11" s="17" t="s">
        <v>675</v>
      </c>
      <c r="G11" s="16" t="s">
        <v>148</v>
      </c>
      <c r="H11" s="21" t="s">
        <v>13</v>
      </c>
      <c r="I11" s="17" t="s">
        <v>125</v>
      </c>
      <c r="J11" s="17" t="s">
        <v>676</v>
      </c>
      <c r="K11" s="17" t="s">
        <v>677</v>
      </c>
      <c r="L11" s="17" t="s">
        <v>678</v>
      </c>
      <c r="M11" s="17" t="s">
        <v>679</v>
      </c>
      <c r="N11" s="17" t="s">
        <v>680</v>
      </c>
      <c r="O11" s="17" t="s">
        <v>681</v>
      </c>
      <c r="P11" s="17" t="s">
        <v>682</v>
      </c>
      <c r="Q11" s="17" t="s">
        <v>683</v>
      </c>
      <c r="R11" s="16" t="s">
        <v>103</v>
      </c>
      <c r="S11" s="19" t="s">
        <v>684</v>
      </c>
      <c r="T11" s="19" t="s">
        <v>685</v>
      </c>
      <c r="U11" s="19" t="s">
        <v>67</v>
      </c>
    </row>
    <row r="12" customFormat="false" ht="96" hidden="false" customHeight="true" outlineLevel="0" collapsed="false">
      <c r="A12" s="16" t="n">
        <v>8</v>
      </c>
      <c r="B12" s="16" t="s">
        <v>686</v>
      </c>
      <c r="C12" s="17" t="s">
        <v>687</v>
      </c>
      <c r="D12" s="17" t="s">
        <v>688</v>
      </c>
      <c r="E12" s="16" t="n">
        <v>2023</v>
      </c>
      <c r="F12" s="17" t="s">
        <v>661</v>
      </c>
      <c r="G12" s="16" t="s">
        <v>199</v>
      </c>
      <c r="H12" s="21" t="s">
        <v>13</v>
      </c>
      <c r="I12" s="17" t="s">
        <v>125</v>
      </c>
      <c r="J12" s="17" t="s">
        <v>544</v>
      </c>
      <c r="K12" s="17" t="s">
        <v>689</v>
      </c>
      <c r="L12" s="17" t="s">
        <v>690</v>
      </c>
      <c r="M12" s="17" t="s">
        <v>691</v>
      </c>
      <c r="N12" s="17" t="s">
        <v>692</v>
      </c>
      <c r="O12" s="17" t="s">
        <v>693</v>
      </c>
      <c r="P12" s="17" t="s">
        <v>694</v>
      </c>
      <c r="Q12" s="17" t="s">
        <v>695</v>
      </c>
      <c r="R12" s="16" t="s">
        <v>103</v>
      </c>
      <c r="S12" s="19" t="s">
        <v>696</v>
      </c>
      <c r="T12" s="19" t="s">
        <v>697</v>
      </c>
      <c r="U12" s="19" t="s">
        <v>67</v>
      </c>
    </row>
    <row r="13" customFormat="false" ht="96" hidden="false" customHeight="true" outlineLevel="0" collapsed="false">
      <c r="A13" s="16" t="n">
        <v>9</v>
      </c>
      <c r="B13" s="16" t="s">
        <v>743</v>
      </c>
      <c r="C13" s="17" t="s">
        <v>744</v>
      </c>
      <c r="D13" s="17" t="s">
        <v>745</v>
      </c>
      <c r="E13" s="16" t="n">
        <v>2023</v>
      </c>
      <c r="F13" s="17" t="s">
        <v>209</v>
      </c>
      <c r="G13" s="16" t="s">
        <v>199</v>
      </c>
      <c r="H13" s="21" t="s">
        <v>13</v>
      </c>
      <c r="I13" s="17" t="s">
        <v>125</v>
      </c>
      <c r="J13" s="17" t="s">
        <v>746</v>
      </c>
      <c r="K13" s="17" t="s">
        <v>747</v>
      </c>
      <c r="L13" s="17" t="s">
        <v>748</v>
      </c>
      <c r="M13" s="17" t="s">
        <v>749</v>
      </c>
      <c r="N13" s="17" t="s">
        <v>750</v>
      </c>
      <c r="O13" s="17" t="s">
        <v>751</v>
      </c>
      <c r="P13" s="17" t="s">
        <v>752</v>
      </c>
      <c r="Q13" s="17" t="s">
        <v>753</v>
      </c>
      <c r="R13" s="16" t="s">
        <v>103</v>
      </c>
      <c r="S13" s="19" t="s">
        <v>754</v>
      </c>
      <c r="T13" s="19" t="s">
        <v>755</v>
      </c>
      <c r="U13" s="19" t="s">
        <v>67</v>
      </c>
    </row>
    <row r="14" customFormat="false" ht="96" hidden="false" customHeight="true" outlineLevel="0" collapsed="false">
      <c r="A14" s="16" t="n">
        <v>10</v>
      </c>
      <c r="B14" s="16" t="s">
        <v>914</v>
      </c>
      <c r="C14" s="17" t="s">
        <v>915</v>
      </c>
      <c r="D14" s="17" t="s">
        <v>916</v>
      </c>
      <c r="E14" s="16" t="n">
        <v>2023</v>
      </c>
      <c r="F14" s="17" t="s">
        <v>883</v>
      </c>
      <c r="G14" s="16" t="s">
        <v>446</v>
      </c>
      <c r="H14" s="21" t="s">
        <v>13</v>
      </c>
      <c r="I14" s="17" t="s">
        <v>125</v>
      </c>
      <c r="J14" s="17" t="s">
        <v>917</v>
      </c>
      <c r="K14" s="17" t="s">
        <v>918</v>
      </c>
      <c r="L14" s="17" t="s">
        <v>919</v>
      </c>
      <c r="M14" s="17" t="s">
        <v>920</v>
      </c>
      <c r="N14" s="17" t="s">
        <v>921</v>
      </c>
      <c r="O14" s="17" t="s">
        <v>922</v>
      </c>
      <c r="P14" s="17" t="s">
        <v>923</v>
      </c>
      <c r="Q14" s="17" t="s">
        <v>924</v>
      </c>
      <c r="R14" s="16" t="s">
        <v>65</v>
      </c>
      <c r="S14" s="16"/>
      <c r="T14" s="19" t="s">
        <v>925</v>
      </c>
      <c r="U14" s="19" t="s">
        <v>67</v>
      </c>
    </row>
    <row r="15" customFormat="false" ht="96" hidden="false" customHeight="true" outlineLevel="0" collapsed="false">
      <c r="A15" s="16" t="n">
        <v>11</v>
      </c>
      <c r="B15" s="16" t="s">
        <v>994</v>
      </c>
      <c r="C15" s="17" t="s">
        <v>995</v>
      </c>
      <c r="D15" s="17" t="s">
        <v>996</v>
      </c>
      <c r="E15" s="16" t="n">
        <v>2023</v>
      </c>
      <c r="F15" s="17" t="s">
        <v>605</v>
      </c>
      <c r="G15" s="16" t="s">
        <v>148</v>
      </c>
      <c r="H15" s="21" t="s">
        <v>13</v>
      </c>
      <c r="I15" s="17" t="s">
        <v>125</v>
      </c>
      <c r="J15" s="17" t="s">
        <v>631</v>
      </c>
      <c r="K15" s="17" t="s">
        <v>997</v>
      </c>
      <c r="L15" s="17" t="s">
        <v>998</v>
      </c>
      <c r="M15" s="17" t="s">
        <v>999</v>
      </c>
      <c r="N15" s="17" t="s">
        <v>750</v>
      </c>
      <c r="O15" s="17" t="s">
        <v>1000</v>
      </c>
      <c r="P15" s="17" t="s">
        <v>1001</v>
      </c>
      <c r="Q15" s="17" t="s">
        <v>1002</v>
      </c>
      <c r="R15" s="16" t="s">
        <v>103</v>
      </c>
      <c r="S15" s="19" t="s">
        <v>1003</v>
      </c>
      <c r="T15" s="19" t="s">
        <v>1004</v>
      </c>
      <c r="U15" s="19" t="s">
        <v>67</v>
      </c>
    </row>
    <row r="16" customFormat="false" ht="96" hidden="false" customHeight="true" outlineLevel="0" collapsed="false">
      <c r="A16" s="16" t="n">
        <v>12</v>
      </c>
      <c r="B16" s="16" t="s">
        <v>1015</v>
      </c>
      <c r="C16" s="17" t="s">
        <v>1016</v>
      </c>
      <c r="D16" s="17" t="s">
        <v>1017</v>
      </c>
      <c r="E16" s="16" t="n">
        <v>2023</v>
      </c>
      <c r="F16" s="17" t="s">
        <v>675</v>
      </c>
      <c r="G16" s="16" t="s">
        <v>148</v>
      </c>
      <c r="H16" s="21" t="s">
        <v>13</v>
      </c>
      <c r="I16" s="17" t="s">
        <v>125</v>
      </c>
      <c r="J16" s="17" t="s">
        <v>1018</v>
      </c>
      <c r="K16" s="17" t="s">
        <v>1019</v>
      </c>
      <c r="L16" s="17" t="s">
        <v>1020</v>
      </c>
      <c r="M16" s="17" t="s">
        <v>1021</v>
      </c>
      <c r="N16" s="17" t="s">
        <v>1022</v>
      </c>
      <c r="O16" s="17" t="s">
        <v>1023</v>
      </c>
      <c r="P16" s="17" t="s">
        <v>1024</v>
      </c>
      <c r="Q16" s="17" t="s">
        <v>1025</v>
      </c>
      <c r="R16" s="16" t="s">
        <v>103</v>
      </c>
      <c r="S16" s="19" t="s">
        <v>1026</v>
      </c>
      <c r="T16" s="19" t="s">
        <v>1027</v>
      </c>
      <c r="U16" s="19" t="s">
        <v>67</v>
      </c>
    </row>
    <row r="17" customFormat="false" ht="96" hidden="false" customHeight="true" outlineLevel="0" collapsed="false">
      <c r="A17" s="16" t="n">
        <v>13</v>
      </c>
      <c r="B17" s="16" t="s">
        <v>1083</v>
      </c>
      <c r="C17" s="17" t="s">
        <v>1084</v>
      </c>
      <c r="D17" s="17" t="s">
        <v>1085</v>
      </c>
      <c r="E17" s="16" t="n">
        <v>2023</v>
      </c>
      <c r="F17" s="17" t="s">
        <v>327</v>
      </c>
      <c r="G17" s="16" t="s">
        <v>148</v>
      </c>
      <c r="H17" s="21" t="s">
        <v>13</v>
      </c>
      <c r="I17" s="17" t="s">
        <v>125</v>
      </c>
      <c r="J17" s="17" t="s">
        <v>631</v>
      </c>
      <c r="K17" s="17" t="s">
        <v>1086</v>
      </c>
      <c r="L17" s="17" t="s">
        <v>1087</v>
      </c>
      <c r="M17" s="17" t="s">
        <v>1088</v>
      </c>
      <c r="N17" s="17" t="s">
        <v>1089</v>
      </c>
      <c r="O17" s="17" t="s">
        <v>549</v>
      </c>
      <c r="P17" s="17" t="s">
        <v>1090</v>
      </c>
      <c r="Q17" s="17" t="s">
        <v>1091</v>
      </c>
      <c r="R17" s="16" t="s">
        <v>65</v>
      </c>
      <c r="S17" s="16"/>
      <c r="T17" s="19" t="s">
        <v>1092</v>
      </c>
      <c r="U17" s="19" t="s">
        <v>67</v>
      </c>
    </row>
    <row r="18" customFormat="false" ht="96" hidden="false" customHeight="true" outlineLevel="0" collapsed="false">
      <c r="A18" s="16" t="n">
        <v>14</v>
      </c>
      <c r="B18" s="16" t="s">
        <v>1093</v>
      </c>
      <c r="C18" s="17" t="s">
        <v>1094</v>
      </c>
      <c r="D18" s="17" t="s">
        <v>1095</v>
      </c>
      <c r="E18" s="16" t="n">
        <v>2023</v>
      </c>
      <c r="F18" s="17" t="s">
        <v>209</v>
      </c>
      <c r="G18" s="16" t="s">
        <v>199</v>
      </c>
      <c r="H18" s="21" t="s">
        <v>13</v>
      </c>
      <c r="I18" s="17" t="s">
        <v>125</v>
      </c>
      <c r="J18" s="17" t="s">
        <v>1096</v>
      </c>
      <c r="K18" s="17" t="s">
        <v>1097</v>
      </c>
      <c r="L18" s="17" t="s">
        <v>1098</v>
      </c>
      <c r="M18" s="17" t="s">
        <v>1099</v>
      </c>
      <c r="N18" s="17" t="s">
        <v>1100</v>
      </c>
      <c r="O18" s="17" t="s">
        <v>549</v>
      </c>
      <c r="P18" s="17" t="s">
        <v>1101</v>
      </c>
      <c r="Q18" s="17" t="s">
        <v>1102</v>
      </c>
      <c r="R18" s="16" t="s">
        <v>103</v>
      </c>
      <c r="S18" s="19" t="s">
        <v>1103</v>
      </c>
      <c r="T18" s="19" t="s">
        <v>1104</v>
      </c>
      <c r="U18" s="19" t="s">
        <v>67</v>
      </c>
    </row>
    <row r="19" customFormat="false" ht="96" hidden="false" customHeight="true" outlineLevel="0" collapsed="false">
      <c r="A19" s="16" t="n">
        <v>15</v>
      </c>
      <c r="B19" s="16" t="s">
        <v>1172</v>
      </c>
      <c r="C19" s="17" t="s">
        <v>1173</v>
      </c>
      <c r="D19" s="17" t="s">
        <v>1174</v>
      </c>
      <c r="E19" s="16" t="n">
        <v>2022</v>
      </c>
      <c r="F19" s="17" t="s">
        <v>907</v>
      </c>
      <c r="G19" s="16" t="s">
        <v>148</v>
      </c>
      <c r="H19" s="21" t="s">
        <v>13</v>
      </c>
      <c r="I19" s="17" t="s">
        <v>125</v>
      </c>
      <c r="J19" s="17" t="s">
        <v>1175</v>
      </c>
      <c r="K19" s="17" t="s">
        <v>1097</v>
      </c>
      <c r="L19" s="17" t="s">
        <v>1176</v>
      </c>
      <c r="M19" s="17" t="s">
        <v>1177</v>
      </c>
      <c r="N19" s="17" t="s">
        <v>1178</v>
      </c>
      <c r="O19" s="17" t="s">
        <v>549</v>
      </c>
      <c r="P19" s="17" t="s">
        <v>1179</v>
      </c>
      <c r="Q19" s="17" t="s">
        <v>1180</v>
      </c>
      <c r="R19" s="16" t="s">
        <v>103</v>
      </c>
      <c r="S19" s="19" t="s">
        <v>1181</v>
      </c>
      <c r="T19" s="19" t="s">
        <v>1182</v>
      </c>
      <c r="U19" s="19" t="s">
        <v>67</v>
      </c>
    </row>
    <row r="20" customFormat="false" ht="96" hidden="false" customHeight="true" outlineLevel="0" collapsed="false">
      <c r="A20" s="16" t="n">
        <v>16</v>
      </c>
      <c r="B20" s="16" t="s">
        <v>1183</v>
      </c>
      <c r="C20" s="17" t="s">
        <v>1184</v>
      </c>
      <c r="D20" s="17" t="s">
        <v>1185</v>
      </c>
      <c r="E20" s="16" t="n">
        <v>2022</v>
      </c>
      <c r="F20" s="17" t="s">
        <v>1186</v>
      </c>
      <c r="G20" s="16" t="s">
        <v>148</v>
      </c>
      <c r="H20" s="21" t="s">
        <v>13</v>
      </c>
      <c r="I20" s="17" t="s">
        <v>125</v>
      </c>
      <c r="J20" s="17" t="s">
        <v>631</v>
      </c>
      <c r="K20" s="17" t="s">
        <v>1086</v>
      </c>
      <c r="L20" s="17" t="s">
        <v>1187</v>
      </c>
      <c r="M20" s="17" t="s">
        <v>1188</v>
      </c>
      <c r="N20" s="17" t="s">
        <v>1178</v>
      </c>
      <c r="O20" s="17" t="s">
        <v>549</v>
      </c>
      <c r="P20" s="17" t="s">
        <v>1189</v>
      </c>
      <c r="Q20" s="17" t="s">
        <v>1190</v>
      </c>
      <c r="R20" s="16" t="s">
        <v>103</v>
      </c>
      <c r="S20" s="19" t="s">
        <v>1191</v>
      </c>
      <c r="T20" s="19" t="s">
        <v>1192</v>
      </c>
      <c r="U20" s="19" t="s">
        <v>67</v>
      </c>
    </row>
    <row r="21" customFormat="false" ht="96" hidden="false" customHeight="true" outlineLevel="0" collapsed="false">
      <c r="A21" s="16" t="n">
        <v>17</v>
      </c>
      <c r="B21" s="16" t="s">
        <v>1355</v>
      </c>
      <c r="C21" s="17" t="s">
        <v>1356</v>
      </c>
      <c r="D21" s="17" t="s">
        <v>1357</v>
      </c>
      <c r="E21" s="16" t="n">
        <v>2022</v>
      </c>
      <c r="F21" s="17" t="s">
        <v>327</v>
      </c>
      <c r="G21" s="16" t="s">
        <v>148</v>
      </c>
      <c r="H21" s="21" t="s">
        <v>13</v>
      </c>
      <c r="I21" s="17" t="s">
        <v>125</v>
      </c>
      <c r="J21" s="17" t="s">
        <v>631</v>
      </c>
      <c r="K21" s="17" t="s">
        <v>1358</v>
      </c>
      <c r="L21" s="17" t="s">
        <v>1359</v>
      </c>
      <c r="M21" s="17" t="s">
        <v>1360</v>
      </c>
      <c r="N21" s="17" t="s">
        <v>1361</v>
      </c>
      <c r="O21" s="17" t="s">
        <v>1362</v>
      </c>
      <c r="P21" s="17" t="s">
        <v>1363</v>
      </c>
      <c r="Q21" s="17" t="s">
        <v>1364</v>
      </c>
      <c r="R21" s="16" t="s">
        <v>103</v>
      </c>
      <c r="S21" s="19" t="s">
        <v>1365</v>
      </c>
      <c r="T21" s="19" t="s">
        <v>1366</v>
      </c>
      <c r="U21" s="19" t="s">
        <v>67</v>
      </c>
    </row>
    <row r="22" customFormat="false" ht="96" hidden="false" customHeight="true" outlineLevel="0" collapsed="false">
      <c r="A22" s="16" t="n">
        <v>18</v>
      </c>
      <c r="B22" s="16" t="s">
        <v>1424</v>
      </c>
      <c r="C22" s="17" t="s">
        <v>1425</v>
      </c>
      <c r="D22" s="17" t="s">
        <v>1426</v>
      </c>
      <c r="E22" s="16" t="n">
        <v>2021</v>
      </c>
      <c r="F22" s="17" t="s">
        <v>907</v>
      </c>
      <c r="G22" s="16" t="s">
        <v>148</v>
      </c>
      <c r="H22" s="21" t="s">
        <v>13</v>
      </c>
      <c r="I22" s="17" t="s">
        <v>125</v>
      </c>
      <c r="J22" s="17" t="s">
        <v>1427</v>
      </c>
      <c r="K22" s="17" t="s">
        <v>1428</v>
      </c>
      <c r="L22" s="17" t="s">
        <v>1429</v>
      </c>
      <c r="M22" s="17" t="s">
        <v>1430</v>
      </c>
      <c r="N22" s="17" t="s">
        <v>1178</v>
      </c>
      <c r="O22" s="17" t="s">
        <v>549</v>
      </c>
      <c r="P22" s="17" t="s">
        <v>1431</v>
      </c>
      <c r="Q22" s="17" t="s">
        <v>1432</v>
      </c>
      <c r="R22" s="16" t="s">
        <v>103</v>
      </c>
      <c r="S22" s="19" t="s">
        <v>1433</v>
      </c>
      <c r="T22" s="19" t="s">
        <v>1434</v>
      </c>
      <c r="U22" s="19" t="s">
        <v>67</v>
      </c>
    </row>
    <row r="23" customFormat="false" ht="96" hidden="false" customHeight="true" outlineLevel="0" collapsed="false">
      <c r="A23" s="16" t="n">
        <v>19</v>
      </c>
      <c r="B23" s="16" t="s">
        <v>1699</v>
      </c>
      <c r="C23" s="17" t="s">
        <v>1700</v>
      </c>
      <c r="D23" s="17" t="s">
        <v>1701</v>
      </c>
      <c r="E23" s="16" t="n">
        <v>2021</v>
      </c>
      <c r="F23" s="17" t="s">
        <v>605</v>
      </c>
      <c r="G23" s="16" t="s">
        <v>148</v>
      </c>
      <c r="H23" s="21" t="s">
        <v>13</v>
      </c>
      <c r="I23" s="17" t="s">
        <v>125</v>
      </c>
      <c r="J23" s="17" t="s">
        <v>1702</v>
      </c>
      <c r="K23" s="17" t="s">
        <v>1703</v>
      </c>
      <c r="L23" s="17" t="s">
        <v>1704</v>
      </c>
      <c r="M23" s="17" t="s">
        <v>1705</v>
      </c>
      <c r="N23" s="17" t="s">
        <v>1706</v>
      </c>
      <c r="O23" s="17" t="s">
        <v>1707</v>
      </c>
      <c r="P23" s="17" t="s">
        <v>1708</v>
      </c>
      <c r="Q23" s="17" t="s">
        <v>1709</v>
      </c>
      <c r="R23" s="16" t="s">
        <v>103</v>
      </c>
      <c r="S23" s="19" t="s">
        <v>1710</v>
      </c>
      <c r="T23" s="19" t="s">
        <v>1711</v>
      </c>
      <c r="U23" s="19" t="s">
        <v>67</v>
      </c>
    </row>
  </sheetData>
  <autoFilter ref="A4:U23"/>
  <hyperlinks>
    <hyperlink ref="T5" r:id="rId1" display="https://arxiv.org/abs/2412.11638"/>
    <hyperlink ref="U5" r:id="rId2" display="Search"/>
    <hyperlink ref="T6" r:id="rId3" display="https://arxiv.org/abs/2411.16832"/>
    <hyperlink ref="U6" r:id="rId4" display="Search"/>
    <hyperlink ref="S7" r:id="rId5" display="https://github.com/liuyixin-louis/MetaCloak"/>
    <hyperlink ref="T7" r:id="rId6" display="https://arxiv.org/abs/2311.13127"/>
    <hyperlink ref="U7" r:id="rId7" display="Search"/>
    <hyperlink ref="T8" r:id="rId8" display="https://arxiv.org/abs/2310.13828"/>
    <hyperlink ref="U8" r:id="rId9" display="Search"/>
    <hyperlink ref="T9" r:id="rId10" display="https://arxiv.org/abs/2404.15081"/>
    <hyperlink ref="U9" r:id="rId11" display="Search"/>
    <hyperlink ref="S10" r:id="rId12" display="https://github.com/somuchtome/SimAC"/>
    <hyperlink ref="T10" r:id="rId13" display="https://arxiv.org/abs/2312.07865"/>
    <hyperlink ref="U10" r:id="rId14" display="Search"/>
    <hyperlink ref="S11" r:id="rId15" display="https://github.com/mist-project/mist"/>
    <hyperlink ref="T11" r:id="rId16" display="https://arxiv.org/abs/2302.04578"/>
    <hyperlink ref="U11" r:id="rId17" display="Search"/>
    <hyperlink ref="S12" r:id="rId18" display="https://github.com/VinAIResearch/Anti-DreamBooth"/>
    <hyperlink ref="T12" r:id="rId19" display="https://arxiv.org/abs/2303.15433"/>
    <hyperlink ref="U12" r:id="rId20" display="Search"/>
    <hyperlink ref="S13" r:id="rId21" display="https://github.com/vinusankars/Convolution-based-Unlearnability"/>
    <hyperlink ref="T13" r:id="rId22" display="https://arxiv.org/abs/2303.04278"/>
    <hyperlink ref="U13" r:id="rId23" display="Search"/>
    <hyperlink ref="T14" r:id="rId24" display="https://arxiv.org/abs/2302.04222"/>
    <hyperlink ref="U14" r:id="rId25" display="Search"/>
    <hyperlink ref="S15" r:id="rId26" display="https://github.com/cychomatica/One-Pixel-Shotcut"/>
    <hyperlink ref="T15" r:id="rId27" display="https://arxiv.org/abs/2205.12141"/>
    <hyperlink ref="U15" r:id="rId28" display="Search"/>
    <hyperlink ref="S16" r:id="rId29" display="https://github.com/MadryLab/photoguard"/>
    <hyperlink ref="T16" r:id="rId30" display="https://arxiv.org/abs/2302.06588"/>
    <hyperlink ref="U16" r:id="rId31" display="Search"/>
    <hyperlink ref="T17" r:id="rId32" display="https://arxiv.org/abs/2210.10114"/>
    <hyperlink ref="U17" r:id="rId33" display="Search"/>
    <hyperlink ref="S18" r:id="rId34" display="https://github.com/jiamingzhang94/Unlearnable-Clusters"/>
    <hyperlink ref="T18" r:id="rId35" display="https://arxiv.org/abs/2301.01217"/>
    <hyperlink ref="U18" r:id="rId36" display="Search"/>
    <hyperlink ref="S19" r:id="rId37" display="https://github.com/psandovalsegura/autoregressive-poisoning"/>
    <hyperlink ref="T19" r:id="rId38" display="https://arxiv.org/abs/2206.03693"/>
    <hyperlink ref="U19" r:id="rId39" display="Search"/>
    <hyperlink ref="S20" r:id="rId40" display="https://github.com/dayu11/Availability-Attacks-Create-Shortcuts"/>
    <hyperlink ref="T20" r:id="rId41" display="https://arxiv.org/abs/2111.00898"/>
    <hyperlink ref="U20" r:id="rId42" display="Search"/>
    <hyperlink ref="S21" r:id="rId43" display="https://github.com/fshp971/robust-unlearnable-examples"/>
    <hyperlink ref="T21" r:id="rId44" display="https://arxiv.org/abs/2203.14533"/>
    <hyperlink ref="U21" r:id="rId45" display="Search"/>
    <hyperlink ref="S22" r:id="rId46" display="https://github.com/lhfowl/adversarial_poisons"/>
    <hyperlink ref="T22" r:id="rId47" display="https://arxiv.org/abs/2106.10807"/>
    <hyperlink ref="U22" r:id="rId48" display="Search"/>
    <hyperlink ref="S23" r:id="rId49" display="https://github.com/HanxunH/Unlearnable-Examples"/>
    <hyperlink ref="T23" r:id="rId50" display="https://arxiv.org/abs/2101.04898"/>
    <hyperlink ref="U23" r:id="rId51"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21</v>
      </c>
    </row>
    <row r="2" customFormat="false" ht="15" hidden="false" customHeight="false" outlineLevel="0" collapsed="false">
      <c r="A2" s="14" t="s">
        <v>2713</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455</v>
      </c>
      <c r="C5" s="17" t="s">
        <v>456</v>
      </c>
      <c r="D5" s="17" t="s">
        <v>457</v>
      </c>
      <c r="E5" s="16" t="n">
        <v>2024</v>
      </c>
      <c r="F5" s="17" t="s">
        <v>237</v>
      </c>
      <c r="G5" s="16" t="s">
        <v>199</v>
      </c>
      <c r="H5" s="23" t="s">
        <v>21</v>
      </c>
      <c r="I5" s="17" t="s">
        <v>328</v>
      </c>
      <c r="J5" s="17" t="s">
        <v>458</v>
      </c>
      <c r="K5" s="17" t="s">
        <v>459</v>
      </c>
      <c r="L5" s="17" t="s">
        <v>460</v>
      </c>
      <c r="M5" s="17" t="s">
        <v>461</v>
      </c>
      <c r="N5" s="17" t="s">
        <v>462</v>
      </c>
      <c r="O5" s="17" t="s">
        <v>463</v>
      </c>
      <c r="P5" s="17" t="s">
        <v>464</v>
      </c>
      <c r="Q5" s="17" t="s">
        <v>465</v>
      </c>
      <c r="R5" s="16" t="s">
        <v>103</v>
      </c>
      <c r="S5" s="19" t="s">
        <v>466</v>
      </c>
      <c r="T5" s="19" t="s">
        <v>467</v>
      </c>
      <c r="U5" s="19" t="s">
        <v>67</v>
      </c>
    </row>
    <row r="6" customFormat="false" ht="96" hidden="false" customHeight="true" outlineLevel="0" collapsed="false">
      <c r="A6" s="16" t="n">
        <v>2</v>
      </c>
      <c r="B6" s="16" t="s">
        <v>494</v>
      </c>
      <c r="C6" s="17" t="s">
        <v>495</v>
      </c>
      <c r="D6" s="17" t="s">
        <v>496</v>
      </c>
      <c r="E6" s="16" t="n">
        <v>2024</v>
      </c>
      <c r="F6" s="17" t="s">
        <v>209</v>
      </c>
      <c r="G6" s="16" t="s">
        <v>199</v>
      </c>
      <c r="H6" s="23" t="s">
        <v>21</v>
      </c>
      <c r="I6" s="17" t="s">
        <v>328</v>
      </c>
      <c r="J6" s="17" t="s">
        <v>224</v>
      </c>
      <c r="K6" s="17" t="s">
        <v>497</v>
      </c>
      <c r="L6" s="17" t="s">
        <v>498</v>
      </c>
      <c r="M6" s="17" t="s">
        <v>499</v>
      </c>
      <c r="N6" s="17" t="s">
        <v>500</v>
      </c>
      <c r="O6" s="17" t="s">
        <v>501</v>
      </c>
      <c r="P6" s="17" t="s">
        <v>502</v>
      </c>
      <c r="Q6" s="17" t="s">
        <v>503</v>
      </c>
      <c r="R6" s="16" t="s">
        <v>103</v>
      </c>
      <c r="S6" s="19" t="s">
        <v>504</v>
      </c>
      <c r="T6" s="19" t="s">
        <v>505</v>
      </c>
      <c r="U6" s="19" t="s">
        <v>67</v>
      </c>
    </row>
    <row r="7" customFormat="false" ht="96" hidden="false" customHeight="true" outlineLevel="0" collapsed="false">
      <c r="A7" s="16" t="n">
        <v>3</v>
      </c>
      <c r="B7" s="16" t="s">
        <v>506</v>
      </c>
      <c r="C7" s="17" t="s">
        <v>507</v>
      </c>
      <c r="D7" s="17" t="s">
        <v>508</v>
      </c>
      <c r="E7" s="16" t="n">
        <v>2024</v>
      </c>
      <c r="F7" s="17" t="s">
        <v>71</v>
      </c>
      <c r="G7" s="16" t="s">
        <v>56</v>
      </c>
      <c r="H7" s="23" t="s">
        <v>21</v>
      </c>
      <c r="I7" s="17" t="s">
        <v>328</v>
      </c>
      <c r="J7" s="17" t="s">
        <v>509</v>
      </c>
      <c r="K7" s="17" t="s">
        <v>510</v>
      </c>
      <c r="L7" s="17" t="s">
        <v>511</v>
      </c>
      <c r="M7" s="17" t="s">
        <v>512</v>
      </c>
      <c r="N7" s="17" t="s">
        <v>513</v>
      </c>
      <c r="O7" s="17" t="s">
        <v>76</v>
      </c>
      <c r="P7" s="17" t="s">
        <v>514</v>
      </c>
      <c r="Q7" s="17" t="s">
        <v>515</v>
      </c>
      <c r="R7" s="16" t="s">
        <v>65</v>
      </c>
      <c r="S7" s="16"/>
      <c r="T7" s="19" t="s">
        <v>516</v>
      </c>
      <c r="U7" s="19" t="s">
        <v>67</v>
      </c>
    </row>
    <row r="8" customFormat="false" ht="96" hidden="false" customHeight="true" outlineLevel="0" collapsed="false">
      <c r="A8" s="16" t="n">
        <v>4</v>
      </c>
      <c r="B8" s="16" t="s">
        <v>602</v>
      </c>
      <c r="C8" s="17" t="s">
        <v>603</v>
      </c>
      <c r="D8" s="17" t="s">
        <v>604</v>
      </c>
      <c r="E8" s="16" t="n">
        <v>2024</v>
      </c>
      <c r="F8" s="17" t="s">
        <v>605</v>
      </c>
      <c r="G8" s="16" t="s">
        <v>148</v>
      </c>
      <c r="H8" s="23" t="s">
        <v>21</v>
      </c>
      <c r="I8" s="17" t="s">
        <v>328</v>
      </c>
      <c r="J8" s="17" t="s">
        <v>606</v>
      </c>
      <c r="K8" s="17" t="s">
        <v>607</v>
      </c>
      <c r="L8" s="17" t="s">
        <v>608</v>
      </c>
      <c r="M8" s="17" t="s">
        <v>609</v>
      </c>
      <c r="N8" s="17" t="s">
        <v>610</v>
      </c>
      <c r="O8" s="17" t="s">
        <v>611</v>
      </c>
      <c r="P8" s="17" t="s">
        <v>612</v>
      </c>
      <c r="Q8" s="17" t="s">
        <v>613</v>
      </c>
      <c r="R8" s="16" t="s">
        <v>103</v>
      </c>
      <c r="S8" s="19" t="s">
        <v>614</v>
      </c>
      <c r="T8" s="19" t="s">
        <v>615</v>
      </c>
      <c r="U8" s="19" t="s">
        <v>67</v>
      </c>
    </row>
    <row r="9" customFormat="false" ht="96" hidden="false" customHeight="true" outlineLevel="0" collapsed="false">
      <c r="A9" s="16" t="n">
        <v>5</v>
      </c>
      <c r="B9" s="16" t="s">
        <v>658</v>
      </c>
      <c r="C9" s="17" t="s">
        <v>659</v>
      </c>
      <c r="D9" s="17" t="s">
        <v>660</v>
      </c>
      <c r="E9" s="16" t="n">
        <v>2023</v>
      </c>
      <c r="F9" s="17" t="s">
        <v>661</v>
      </c>
      <c r="G9" s="16" t="s">
        <v>199</v>
      </c>
      <c r="H9" s="23" t="s">
        <v>21</v>
      </c>
      <c r="I9" s="17" t="s">
        <v>328</v>
      </c>
      <c r="J9" s="17" t="s">
        <v>662</v>
      </c>
      <c r="K9" s="17" t="s">
        <v>663</v>
      </c>
      <c r="L9" s="17" t="s">
        <v>664</v>
      </c>
      <c r="M9" s="17" t="s">
        <v>665</v>
      </c>
      <c r="N9" s="17" t="s">
        <v>666</v>
      </c>
      <c r="O9" s="17" t="s">
        <v>667</v>
      </c>
      <c r="P9" s="17" t="s">
        <v>668</v>
      </c>
      <c r="Q9" s="17" t="s">
        <v>669</v>
      </c>
      <c r="R9" s="16" t="s">
        <v>103</v>
      </c>
      <c r="S9" s="19" t="s">
        <v>670</v>
      </c>
      <c r="T9" s="19" t="s">
        <v>671</v>
      </c>
      <c r="U9" s="19" t="s">
        <v>67</v>
      </c>
    </row>
    <row r="10" customFormat="false" ht="96" hidden="false" customHeight="true" outlineLevel="0" collapsed="false">
      <c r="A10" s="16" t="n">
        <v>6</v>
      </c>
      <c r="B10" s="16" t="s">
        <v>720</v>
      </c>
      <c r="C10" s="17" t="s">
        <v>721</v>
      </c>
      <c r="D10" s="17" t="s">
        <v>722</v>
      </c>
      <c r="E10" s="16" t="n">
        <v>2023</v>
      </c>
      <c r="F10" s="17" t="s">
        <v>209</v>
      </c>
      <c r="G10" s="16" t="s">
        <v>199</v>
      </c>
      <c r="H10" s="23" t="s">
        <v>21</v>
      </c>
      <c r="I10" s="17" t="s">
        <v>328</v>
      </c>
      <c r="J10" s="17" t="s">
        <v>723</v>
      </c>
      <c r="K10" s="17" t="s">
        <v>724</v>
      </c>
      <c r="L10" s="17" t="s">
        <v>725</v>
      </c>
      <c r="M10" s="17" t="s">
        <v>726</v>
      </c>
      <c r="N10" s="17" t="s">
        <v>727</v>
      </c>
      <c r="O10" s="17" t="s">
        <v>728</v>
      </c>
      <c r="P10" s="17" t="s">
        <v>729</v>
      </c>
      <c r="Q10" s="17" t="s">
        <v>730</v>
      </c>
      <c r="R10" s="16" t="s">
        <v>65</v>
      </c>
      <c r="S10" s="16"/>
      <c r="T10" s="19" t="s">
        <v>731</v>
      </c>
      <c r="U10" s="19" t="s">
        <v>67</v>
      </c>
    </row>
    <row r="11" customFormat="false" ht="96" hidden="false" customHeight="true" outlineLevel="0" collapsed="false">
      <c r="A11" s="16" t="n">
        <v>7</v>
      </c>
      <c r="B11" s="16" t="s">
        <v>756</v>
      </c>
      <c r="C11" s="17" t="s">
        <v>757</v>
      </c>
      <c r="D11" s="17" t="s">
        <v>758</v>
      </c>
      <c r="E11" s="16" t="n">
        <v>2023</v>
      </c>
      <c r="F11" s="17" t="s">
        <v>388</v>
      </c>
      <c r="G11" s="16" t="s">
        <v>148</v>
      </c>
      <c r="H11" s="23" t="s">
        <v>21</v>
      </c>
      <c r="I11" s="17" t="s">
        <v>328</v>
      </c>
      <c r="J11" s="17" t="s">
        <v>759</v>
      </c>
      <c r="K11" s="17" t="s">
        <v>760</v>
      </c>
      <c r="L11" s="17" t="s">
        <v>761</v>
      </c>
      <c r="M11" s="17" t="s">
        <v>762</v>
      </c>
      <c r="N11" s="17" t="s">
        <v>763</v>
      </c>
      <c r="O11" s="17" t="s">
        <v>764</v>
      </c>
      <c r="P11" s="17" t="s">
        <v>765</v>
      </c>
      <c r="Q11" s="17" t="s">
        <v>766</v>
      </c>
      <c r="R11" s="16" t="s">
        <v>103</v>
      </c>
      <c r="S11" s="19" t="s">
        <v>767</v>
      </c>
      <c r="T11" s="19" t="s">
        <v>768</v>
      </c>
      <c r="U11" s="19" t="s">
        <v>67</v>
      </c>
    </row>
    <row r="12" customFormat="false" ht="96" hidden="false" customHeight="true" outlineLevel="0" collapsed="false">
      <c r="A12" s="16" t="n">
        <v>8</v>
      </c>
      <c r="B12" s="16" t="s">
        <v>869</v>
      </c>
      <c r="C12" s="17" t="s">
        <v>870</v>
      </c>
      <c r="D12" s="17" t="s">
        <v>871</v>
      </c>
      <c r="E12" s="16" t="n">
        <v>2023</v>
      </c>
      <c r="F12" s="17" t="s">
        <v>661</v>
      </c>
      <c r="G12" s="16" t="s">
        <v>199</v>
      </c>
      <c r="H12" s="23" t="s">
        <v>21</v>
      </c>
      <c r="I12" s="17" t="s">
        <v>328</v>
      </c>
      <c r="J12" s="17" t="s">
        <v>872</v>
      </c>
      <c r="K12" s="17" t="s">
        <v>663</v>
      </c>
      <c r="L12" s="17" t="s">
        <v>873</v>
      </c>
      <c r="M12" s="17" t="s">
        <v>874</v>
      </c>
      <c r="N12" s="17" t="s">
        <v>875</v>
      </c>
      <c r="O12" s="17" t="s">
        <v>463</v>
      </c>
      <c r="P12" s="17" t="s">
        <v>876</v>
      </c>
      <c r="Q12" s="17" t="s">
        <v>877</v>
      </c>
      <c r="R12" s="16" t="s">
        <v>103</v>
      </c>
      <c r="S12" s="19" t="s">
        <v>878</v>
      </c>
      <c r="T12" s="19" t="s">
        <v>879</v>
      </c>
      <c r="U12" s="19" t="s">
        <v>67</v>
      </c>
    </row>
    <row r="13" customFormat="false" ht="96" hidden="false" customHeight="true" outlineLevel="0" collapsed="false">
      <c r="A13" s="16" t="n">
        <v>9</v>
      </c>
      <c r="B13" s="16" t="s">
        <v>880</v>
      </c>
      <c r="C13" s="17" t="s">
        <v>881</v>
      </c>
      <c r="D13" s="17" t="s">
        <v>882</v>
      </c>
      <c r="E13" s="16" t="n">
        <v>2023</v>
      </c>
      <c r="F13" s="17" t="s">
        <v>883</v>
      </c>
      <c r="G13" s="16" t="s">
        <v>446</v>
      </c>
      <c r="H13" s="23" t="s">
        <v>21</v>
      </c>
      <c r="I13" s="17" t="s">
        <v>328</v>
      </c>
      <c r="J13" s="17" t="s">
        <v>884</v>
      </c>
      <c r="K13" s="17" t="s">
        <v>885</v>
      </c>
      <c r="L13" s="17" t="s">
        <v>886</v>
      </c>
      <c r="M13" s="17" t="s">
        <v>887</v>
      </c>
      <c r="N13" s="17" t="s">
        <v>888</v>
      </c>
      <c r="O13" s="17" t="s">
        <v>76</v>
      </c>
      <c r="P13" s="17" t="s">
        <v>889</v>
      </c>
      <c r="Q13" s="17" t="s">
        <v>890</v>
      </c>
      <c r="R13" s="16" t="s">
        <v>103</v>
      </c>
      <c r="S13" s="19" t="s">
        <v>891</v>
      </c>
      <c r="T13" s="19" t="s">
        <v>892</v>
      </c>
      <c r="U13" s="19" t="s">
        <v>67</v>
      </c>
    </row>
    <row r="14" customFormat="false" ht="96" hidden="false" customHeight="true" outlineLevel="0" collapsed="false">
      <c r="A14" s="16" t="n">
        <v>10</v>
      </c>
      <c r="B14" s="16" t="s">
        <v>1040</v>
      </c>
      <c r="C14" s="17" t="s">
        <v>1041</v>
      </c>
      <c r="D14" s="17" t="s">
        <v>1042</v>
      </c>
      <c r="E14" s="16" t="n">
        <v>2023</v>
      </c>
      <c r="F14" s="17" t="s">
        <v>907</v>
      </c>
      <c r="G14" s="16" t="s">
        <v>148</v>
      </c>
      <c r="H14" s="23" t="s">
        <v>21</v>
      </c>
      <c r="I14" s="17" t="s">
        <v>328</v>
      </c>
      <c r="J14" s="17" t="s">
        <v>1043</v>
      </c>
      <c r="K14" s="17" t="s">
        <v>1044</v>
      </c>
      <c r="L14" s="17" t="s">
        <v>1045</v>
      </c>
      <c r="M14" s="17" t="s">
        <v>1046</v>
      </c>
      <c r="N14" s="17" t="s">
        <v>1047</v>
      </c>
      <c r="O14" s="17" t="s">
        <v>1048</v>
      </c>
      <c r="P14" s="17" t="s">
        <v>1049</v>
      </c>
      <c r="Q14" s="17" t="s">
        <v>1050</v>
      </c>
      <c r="R14" s="16" t="s">
        <v>103</v>
      </c>
      <c r="S14" s="19" t="s">
        <v>1051</v>
      </c>
      <c r="T14" s="19" t="s">
        <v>1052</v>
      </c>
      <c r="U14" s="19" t="s">
        <v>67</v>
      </c>
    </row>
    <row r="15" customFormat="false" ht="96" hidden="false" customHeight="true" outlineLevel="0" collapsed="false">
      <c r="A15" s="16" t="n">
        <v>11</v>
      </c>
      <c r="B15" s="16" t="s">
        <v>1070</v>
      </c>
      <c r="C15" s="17" t="s">
        <v>1071</v>
      </c>
      <c r="D15" s="17" t="s">
        <v>1072</v>
      </c>
      <c r="E15" s="16" t="n">
        <v>2023</v>
      </c>
      <c r="F15" s="17" t="s">
        <v>907</v>
      </c>
      <c r="G15" s="16" t="s">
        <v>148</v>
      </c>
      <c r="H15" s="23" t="s">
        <v>21</v>
      </c>
      <c r="I15" s="17" t="s">
        <v>328</v>
      </c>
      <c r="J15" s="17" t="s">
        <v>1073</v>
      </c>
      <c r="K15" s="17" t="s">
        <v>1074</v>
      </c>
      <c r="L15" s="17" t="s">
        <v>1075</v>
      </c>
      <c r="M15" s="17" t="s">
        <v>1076</v>
      </c>
      <c r="N15" s="17" t="s">
        <v>1077</v>
      </c>
      <c r="O15" s="17" t="s">
        <v>1078</v>
      </c>
      <c r="P15" s="17" t="s">
        <v>1079</v>
      </c>
      <c r="Q15" s="17" t="s">
        <v>1080</v>
      </c>
      <c r="R15" s="16" t="s">
        <v>103</v>
      </c>
      <c r="S15" s="19" t="s">
        <v>1081</v>
      </c>
      <c r="T15" s="19" t="s">
        <v>1082</v>
      </c>
      <c r="U15" s="19" t="s">
        <v>67</v>
      </c>
    </row>
    <row r="16" customFormat="false" ht="96" hidden="false" customHeight="true" outlineLevel="0" collapsed="false">
      <c r="A16" s="16" t="n">
        <v>12</v>
      </c>
      <c r="B16" s="16" t="s">
        <v>1116</v>
      </c>
      <c r="C16" s="17" t="s">
        <v>1117</v>
      </c>
      <c r="D16" s="17" t="s">
        <v>758</v>
      </c>
      <c r="E16" s="16" t="n">
        <v>2023</v>
      </c>
      <c r="F16" s="17" t="s">
        <v>83</v>
      </c>
      <c r="G16" s="16" t="s">
        <v>84</v>
      </c>
      <c r="H16" s="23" t="s">
        <v>21</v>
      </c>
      <c r="I16" s="17" t="s">
        <v>328</v>
      </c>
      <c r="J16" s="17" t="s">
        <v>1118</v>
      </c>
      <c r="K16" s="17" t="s">
        <v>760</v>
      </c>
      <c r="L16" s="17" t="s">
        <v>1119</v>
      </c>
      <c r="M16" s="17" t="s">
        <v>1120</v>
      </c>
      <c r="N16" s="17" t="s">
        <v>1121</v>
      </c>
      <c r="O16" s="17" t="s">
        <v>1078</v>
      </c>
      <c r="P16" s="17" t="s">
        <v>1122</v>
      </c>
      <c r="Q16" s="17" t="s">
        <v>1123</v>
      </c>
      <c r="R16" s="16" t="s">
        <v>65</v>
      </c>
      <c r="S16" s="16"/>
      <c r="T16" s="19" t="s">
        <v>1124</v>
      </c>
      <c r="U16" s="19" t="s">
        <v>67</v>
      </c>
    </row>
    <row r="17" customFormat="false" ht="96" hidden="false" customHeight="true" outlineLevel="0" collapsed="false">
      <c r="A17" s="16" t="n">
        <v>13</v>
      </c>
      <c r="B17" s="16" t="s">
        <v>1125</v>
      </c>
      <c r="C17" s="17" t="s">
        <v>1126</v>
      </c>
      <c r="D17" s="17" t="s">
        <v>1127</v>
      </c>
      <c r="E17" s="16" t="n">
        <v>2022</v>
      </c>
      <c r="F17" s="17" t="s">
        <v>71</v>
      </c>
      <c r="G17" s="16" t="s">
        <v>56</v>
      </c>
      <c r="H17" s="23" t="s">
        <v>21</v>
      </c>
      <c r="I17" s="17" t="s">
        <v>328</v>
      </c>
      <c r="J17" s="17" t="s">
        <v>73</v>
      </c>
      <c r="K17" s="17" t="s">
        <v>73</v>
      </c>
      <c r="L17" s="17" t="s">
        <v>1128</v>
      </c>
      <c r="M17" s="17" t="s">
        <v>1129</v>
      </c>
      <c r="N17" s="17" t="s">
        <v>76</v>
      </c>
      <c r="O17" s="17" t="s">
        <v>76</v>
      </c>
      <c r="P17" s="17" t="s">
        <v>1130</v>
      </c>
      <c r="Q17" s="17" t="s">
        <v>1131</v>
      </c>
      <c r="R17" s="16" t="s">
        <v>103</v>
      </c>
      <c r="S17" s="19" t="s">
        <v>1132</v>
      </c>
      <c r="T17" s="19" t="s">
        <v>1133</v>
      </c>
      <c r="U17" s="19" t="s">
        <v>67</v>
      </c>
    </row>
    <row r="18" customFormat="false" ht="96" hidden="false" customHeight="true" outlineLevel="0" collapsed="false">
      <c r="A18" s="16" t="n">
        <v>14</v>
      </c>
      <c r="B18" s="16" t="s">
        <v>1571</v>
      </c>
      <c r="C18" s="17" t="s">
        <v>1572</v>
      </c>
      <c r="D18" s="17" t="s">
        <v>1573</v>
      </c>
      <c r="E18" s="16" t="n">
        <v>2021</v>
      </c>
      <c r="F18" s="17" t="s">
        <v>557</v>
      </c>
      <c r="G18" s="16" t="s">
        <v>446</v>
      </c>
      <c r="H18" s="23" t="s">
        <v>21</v>
      </c>
      <c r="I18" s="17" t="s">
        <v>328</v>
      </c>
      <c r="J18" s="17" t="s">
        <v>1574</v>
      </c>
      <c r="K18" s="17" t="s">
        <v>1575</v>
      </c>
      <c r="L18" s="17" t="s">
        <v>1576</v>
      </c>
      <c r="M18" s="17" t="s">
        <v>1577</v>
      </c>
      <c r="N18" s="17" t="s">
        <v>1578</v>
      </c>
      <c r="O18" s="17" t="s">
        <v>1579</v>
      </c>
      <c r="P18" s="17" t="s">
        <v>1580</v>
      </c>
      <c r="Q18" s="17" t="s">
        <v>1581</v>
      </c>
      <c r="R18" s="16" t="s">
        <v>103</v>
      </c>
      <c r="S18" s="19" t="s">
        <v>1582</v>
      </c>
      <c r="T18" s="19" t="s">
        <v>1583</v>
      </c>
      <c r="U18" s="19" t="s">
        <v>67</v>
      </c>
    </row>
    <row r="19" customFormat="false" ht="96" hidden="false" customHeight="true" outlineLevel="0" collapsed="false">
      <c r="A19" s="16" t="n">
        <v>15</v>
      </c>
      <c r="B19" s="16" t="s">
        <v>1762</v>
      </c>
      <c r="C19" s="17" t="s">
        <v>1763</v>
      </c>
      <c r="D19" s="17" t="s">
        <v>1764</v>
      </c>
      <c r="E19" s="16" t="n">
        <v>2020</v>
      </c>
      <c r="F19" s="17" t="s">
        <v>209</v>
      </c>
      <c r="G19" s="16" t="s">
        <v>199</v>
      </c>
      <c r="H19" s="23" t="s">
        <v>21</v>
      </c>
      <c r="I19" s="17" t="s">
        <v>328</v>
      </c>
      <c r="J19" s="17" t="s">
        <v>1765</v>
      </c>
      <c r="K19" s="17" t="s">
        <v>1074</v>
      </c>
      <c r="L19" s="17" t="s">
        <v>1766</v>
      </c>
      <c r="M19" s="17" t="s">
        <v>1767</v>
      </c>
      <c r="N19" s="17" t="s">
        <v>1768</v>
      </c>
      <c r="O19" s="17" t="s">
        <v>1769</v>
      </c>
      <c r="P19" s="17" t="s">
        <v>1770</v>
      </c>
      <c r="Q19" s="17" t="s">
        <v>1771</v>
      </c>
      <c r="R19" s="16" t="s">
        <v>103</v>
      </c>
      <c r="S19" s="19" t="s">
        <v>1772</v>
      </c>
      <c r="T19" s="19" t="s">
        <v>1773</v>
      </c>
      <c r="U19" s="19" t="s">
        <v>67</v>
      </c>
    </row>
    <row r="20" customFormat="false" ht="96" hidden="false" customHeight="true" outlineLevel="0" collapsed="false">
      <c r="A20" s="16" t="n">
        <v>16</v>
      </c>
      <c r="B20" s="16" t="s">
        <v>1797</v>
      </c>
      <c r="C20" s="17" t="s">
        <v>1798</v>
      </c>
      <c r="D20" s="17" t="s">
        <v>1764</v>
      </c>
      <c r="E20" s="16" t="n">
        <v>2020</v>
      </c>
      <c r="F20" s="17" t="s">
        <v>350</v>
      </c>
      <c r="G20" s="16" t="s">
        <v>199</v>
      </c>
      <c r="H20" s="23" t="s">
        <v>21</v>
      </c>
      <c r="I20" s="17" t="s">
        <v>328</v>
      </c>
      <c r="J20" s="17" t="s">
        <v>1799</v>
      </c>
      <c r="K20" s="17" t="s">
        <v>1074</v>
      </c>
      <c r="L20" s="17" t="s">
        <v>1800</v>
      </c>
      <c r="M20" s="17" t="s">
        <v>1801</v>
      </c>
      <c r="N20" s="17" t="s">
        <v>1802</v>
      </c>
      <c r="O20" s="17" t="s">
        <v>1078</v>
      </c>
      <c r="P20" s="17" t="s">
        <v>1803</v>
      </c>
      <c r="Q20" s="17" t="s">
        <v>1804</v>
      </c>
      <c r="R20" s="16" t="s">
        <v>103</v>
      </c>
      <c r="S20" s="19" t="s">
        <v>1772</v>
      </c>
      <c r="T20" s="19" t="s">
        <v>1805</v>
      </c>
      <c r="U20" s="19" t="s">
        <v>67</v>
      </c>
    </row>
    <row r="21" customFormat="false" ht="96" hidden="false" customHeight="true" outlineLevel="0" collapsed="false">
      <c r="A21" s="16" t="n">
        <v>17</v>
      </c>
      <c r="B21" s="16" t="s">
        <v>2244</v>
      </c>
      <c r="C21" s="17" t="s">
        <v>2245</v>
      </c>
      <c r="D21" s="17" t="s">
        <v>2246</v>
      </c>
      <c r="E21" s="16" t="n">
        <v>2017</v>
      </c>
      <c r="F21" s="17" t="s">
        <v>557</v>
      </c>
      <c r="G21" s="16" t="s">
        <v>446</v>
      </c>
      <c r="H21" s="23" t="s">
        <v>21</v>
      </c>
      <c r="I21" s="17" t="s">
        <v>328</v>
      </c>
      <c r="J21" s="17" t="s">
        <v>2247</v>
      </c>
      <c r="K21" s="17" t="s">
        <v>2248</v>
      </c>
      <c r="L21" s="17" t="s">
        <v>2249</v>
      </c>
      <c r="M21" s="17" t="s">
        <v>2250</v>
      </c>
      <c r="N21" s="17" t="s">
        <v>2251</v>
      </c>
      <c r="O21" s="17" t="s">
        <v>76</v>
      </c>
      <c r="P21" s="17" t="s">
        <v>2252</v>
      </c>
      <c r="Q21" s="17" t="s">
        <v>2253</v>
      </c>
      <c r="R21" s="16" t="s">
        <v>65</v>
      </c>
      <c r="S21" s="16"/>
      <c r="T21" s="19" t="s">
        <v>2254</v>
      </c>
      <c r="U21" s="19" t="s">
        <v>67</v>
      </c>
    </row>
    <row r="22" customFormat="false" ht="96" hidden="false" customHeight="true" outlineLevel="0" collapsed="false">
      <c r="A22" s="16" t="n">
        <v>18</v>
      </c>
      <c r="B22" s="16" t="s">
        <v>2426</v>
      </c>
      <c r="C22" s="17" t="s">
        <v>2427</v>
      </c>
      <c r="D22" s="17" t="s">
        <v>2428</v>
      </c>
      <c r="E22" s="16" t="n">
        <v>2015</v>
      </c>
      <c r="F22" s="17" t="s">
        <v>557</v>
      </c>
      <c r="G22" s="16" t="s">
        <v>446</v>
      </c>
      <c r="H22" s="23" t="s">
        <v>21</v>
      </c>
      <c r="I22" s="17" t="s">
        <v>328</v>
      </c>
      <c r="J22" s="17" t="s">
        <v>2429</v>
      </c>
      <c r="K22" s="17" t="s">
        <v>2430</v>
      </c>
      <c r="L22" s="17" t="s">
        <v>2431</v>
      </c>
      <c r="M22" s="17" t="s">
        <v>2432</v>
      </c>
      <c r="N22" s="17" t="s">
        <v>2433</v>
      </c>
      <c r="O22" s="17" t="s">
        <v>2434</v>
      </c>
      <c r="P22" s="17" t="s">
        <v>2435</v>
      </c>
      <c r="Q22" s="17" t="s">
        <v>2436</v>
      </c>
      <c r="R22" s="16" t="s">
        <v>65</v>
      </c>
      <c r="S22" s="16"/>
      <c r="T22" s="19" t="s">
        <v>2437</v>
      </c>
      <c r="U22" s="19" t="s">
        <v>67</v>
      </c>
    </row>
  </sheetData>
  <autoFilter ref="A4:U22"/>
  <hyperlinks>
    <hyperlink ref="S5" r:id="rId1" display="https://github.com/SHI-Labs/Forget-Me-Not"/>
    <hyperlink ref="T5" r:id="rId2" display="https://arxiv.org/abs/2303.17591"/>
    <hyperlink ref="U5" r:id="rId3" display="Search"/>
    <hyperlink ref="S6" r:id="rId4" display="https://github.com/JJuOn/GUIDE"/>
    <hyperlink ref="T6" r:id="rId5" display="https://arxiv.org/abs/2405.09879"/>
    <hyperlink ref="U6" r:id="rId6" display="Search"/>
    <hyperlink ref="T7" r:id="rId7" display="https://arxiv.org/abs/2402.09225"/>
    <hyperlink ref="U7" r:id="rId8" display="Search"/>
    <hyperlink ref="S8" r:id="rId9" display="https://github.com/OPTML-Group/Unlearn-Saliency"/>
    <hyperlink ref="T8" r:id="rId10" display="https://arxiv.org/abs/2310.12508"/>
    <hyperlink ref="U8" r:id="rId11" display="Search"/>
    <hyperlink ref="S9" r:id="rId12" display="https://github.com/nupurkmr9/concept-ablation"/>
    <hyperlink ref="T9" r:id="rId13" display="https://arxiv.org/abs/2303.13516"/>
    <hyperlink ref="U9" r:id="rId14" display="Search"/>
    <hyperlink ref="T10" r:id="rId15" display="https://arxiv.org/abs/2303.11570"/>
    <hyperlink ref="U10" r:id="rId16" display="Search"/>
    <hyperlink ref="S11" r:id="rId17" display="https://github.com/vikram2000b/bad-teaching-unlearning"/>
    <hyperlink ref="T11" r:id="rId18" display="https://arxiv.org/abs/2205.08096"/>
    <hyperlink ref="U11" r:id="rId19" display="Search"/>
    <hyperlink ref="S12" r:id="rId20" display="https://github.com/rohitgandikota/erasing"/>
    <hyperlink ref="T12" r:id="rId21" display="https://arxiv.org/abs/2303.07345"/>
    <hyperlink ref="U12" r:id="rId22" display="Search"/>
    <hyperlink ref="S13" r:id="rId23" display="https://github.com/MinChen00/Face-Auditor"/>
    <hyperlink ref="T13" r:id="rId24" display="https://arxiv.org/abs/2304.02782"/>
    <hyperlink ref="U13" r:id="rId25" display="Search"/>
    <hyperlink ref="S14" r:id="rId26" display="https://github.com/clear-nus/selective-amnesia"/>
    <hyperlink ref="T14" r:id="rId27" display="https://arxiv.org/abs/2305.10120"/>
    <hyperlink ref="U14" r:id="rId28" display="Search"/>
    <hyperlink ref="S15" r:id="rId29" display="https://github.com/meghdadk/SCRUB"/>
    <hyperlink ref="T15" r:id="rId30" display="https://arxiv.org/abs/2302.09880"/>
    <hyperlink ref="U15" r:id="rId31" display="Search"/>
    <hyperlink ref="T16" r:id="rId32" display="https://arxiv.org/abs/2201.05629"/>
    <hyperlink ref="U16" r:id="rId33" display="Search"/>
    <hyperlink ref="S17" r:id="rId34" display="https://github.com/tamlhp/awesome-machine-unlearning"/>
    <hyperlink ref="T17" r:id="rId35" display="https://arxiv.org/abs/2209.02299"/>
    <hyperlink ref="U17" r:id="rId36" display="Search"/>
    <hyperlink ref="S18" r:id="rId37" display="https://github.com/cleverhans-lab/machine-unlearning"/>
    <hyperlink ref="T18" r:id="rId38" display="https://arxiv.org/abs/1912.03817"/>
    <hyperlink ref="U18" r:id="rId39" display="Search"/>
    <hyperlink ref="S19" r:id="rId40" display="https://github.com/AdityaGolatkar/SelectiveForgetting"/>
    <hyperlink ref="T19" r:id="rId41" display="https://arxiv.org/abs/1911.04933"/>
    <hyperlink ref="U19" r:id="rId42" display="Search"/>
    <hyperlink ref="S20" r:id="rId43" display="https://github.com/AdityaGolatkar/SelectiveForgetting"/>
    <hyperlink ref="T20" r:id="rId44" display="https://arxiv.org/abs/2003.02960"/>
    <hyperlink ref="U20" r:id="rId45" display="Search"/>
    <hyperlink ref="T21" r:id="rId46" display="https://arxiv.org/abs/1610.05820"/>
    <hyperlink ref="U21" r:id="rId47" display="Search"/>
    <hyperlink ref="T22" r:id="rId48" display="https://doi.org/10.1109/SP.2015.35"/>
    <hyperlink ref="U22" r:id="rId49"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7</v>
      </c>
    </row>
    <row r="2" customFormat="false" ht="15" hidden="false" customHeight="false" outlineLevel="0" collapsed="false">
      <c r="A2" s="14" t="s">
        <v>2714</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807</v>
      </c>
      <c r="C5" s="17" t="s">
        <v>808</v>
      </c>
      <c r="D5" s="17" t="s">
        <v>809</v>
      </c>
      <c r="E5" s="16" t="n">
        <v>2023</v>
      </c>
      <c r="F5" s="17" t="s">
        <v>810</v>
      </c>
      <c r="G5" s="16" t="s">
        <v>84</v>
      </c>
      <c r="H5" s="25" t="s">
        <v>7</v>
      </c>
      <c r="I5" s="17" t="s">
        <v>811</v>
      </c>
      <c r="J5" s="17" t="s">
        <v>812</v>
      </c>
      <c r="K5" s="17" t="s">
        <v>813</v>
      </c>
      <c r="L5" s="17" t="s">
        <v>814</v>
      </c>
      <c r="M5" s="17" t="s">
        <v>815</v>
      </c>
      <c r="N5" s="17" t="s">
        <v>816</v>
      </c>
      <c r="O5" s="17" t="s">
        <v>817</v>
      </c>
      <c r="P5" s="17" t="s">
        <v>818</v>
      </c>
      <c r="Q5" s="17" t="s">
        <v>819</v>
      </c>
      <c r="R5" s="16" t="s">
        <v>103</v>
      </c>
      <c r="S5" s="19" t="s">
        <v>820</v>
      </c>
      <c r="T5" s="19" t="s">
        <v>821</v>
      </c>
      <c r="U5" s="19" t="s">
        <v>67</v>
      </c>
    </row>
    <row r="6" customFormat="false" ht="96" hidden="false" customHeight="true" outlineLevel="0" collapsed="false">
      <c r="A6" s="16" t="n">
        <v>2</v>
      </c>
      <c r="B6" s="16" t="s">
        <v>822</v>
      </c>
      <c r="C6" s="17" t="s">
        <v>823</v>
      </c>
      <c r="D6" s="17" t="s">
        <v>824</v>
      </c>
      <c r="E6" s="16" t="n">
        <v>2023</v>
      </c>
      <c r="F6" s="17" t="s">
        <v>71</v>
      </c>
      <c r="G6" s="16" t="s">
        <v>56</v>
      </c>
      <c r="H6" s="25" t="s">
        <v>7</v>
      </c>
      <c r="I6" s="17" t="s">
        <v>811</v>
      </c>
      <c r="J6" s="17" t="s">
        <v>825</v>
      </c>
      <c r="K6" s="17" t="s">
        <v>826</v>
      </c>
      <c r="L6" s="17" t="s">
        <v>827</v>
      </c>
      <c r="M6" s="17" t="s">
        <v>828</v>
      </c>
      <c r="N6" s="17" t="s">
        <v>829</v>
      </c>
      <c r="O6" s="17" t="s">
        <v>830</v>
      </c>
      <c r="P6" s="17" t="s">
        <v>831</v>
      </c>
      <c r="Q6" s="17" t="s">
        <v>832</v>
      </c>
      <c r="R6" s="16" t="s">
        <v>65</v>
      </c>
      <c r="S6" s="16"/>
      <c r="T6" s="19" t="s">
        <v>833</v>
      </c>
      <c r="U6" s="19" t="s">
        <v>67</v>
      </c>
    </row>
    <row r="7" customFormat="false" ht="96" hidden="false" customHeight="true" outlineLevel="0" collapsed="false">
      <c r="A7" s="16" t="n">
        <v>3</v>
      </c>
      <c r="B7" s="16" t="s">
        <v>1218</v>
      </c>
      <c r="C7" s="17" t="s">
        <v>1219</v>
      </c>
      <c r="D7" s="17" t="s">
        <v>1220</v>
      </c>
      <c r="E7" s="16" t="n">
        <v>2022</v>
      </c>
      <c r="F7" s="17" t="s">
        <v>1221</v>
      </c>
      <c r="G7" s="16" t="s">
        <v>84</v>
      </c>
      <c r="H7" s="25" t="s">
        <v>7</v>
      </c>
      <c r="I7" s="17" t="s">
        <v>811</v>
      </c>
      <c r="J7" s="17" t="s">
        <v>1222</v>
      </c>
      <c r="K7" s="17" t="s">
        <v>1223</v>
      </c>
      <c r="L7" s="17" t="s">
        <v>1224</v>
      </c>
      <c r="M7" s="17" t="s">
        <v>1225</v>
      </c>
      <c r="N7" s="17" t="s">
        <v>1226</v>
      </c>
      <c r="O7" s="17" t="s">
        <v>1227</v>
      </c>
      <c r="P7" s="17" t="s">
        <v>1228</v>
      </c>
      <c r="Q7" s="17" t="s">
        <v>1229</v>
      </c>
      <c r="R7" s="16" t="s">
        <v>65</v>
      </c>
      <c r="S7" s="16"/>
      <c r="T7" s="19" t="s">
        <v>1230</v>
      </c>
      <c r="U7" s="19" t="s">
        <v>67</v>
      </c>
    </row>
    <row r="8" customFormat="false" ht="96" hidden="false" customHeight="true" outlineLevel="0" collapsed="false">
      <c r="A8" s="16" t="n">
        <v>4</v>
      </c>
      <c r="B8" s="16" t="s">
        <v>1297</v>
      </c>
      <c r="C8" s="17" t="s">
        <v>1298</v>
      </c>
      <c r="D8" s="17" t="s">
        <v>1299</v>
      </c>
      <c r="E8" s="16" t="n">
        <v>2022</v>
      </c>
      <c r="F8" s="17" t="s">
        <v>1300</v>
      </c>
      <c r="G8" s="16" t="s">
        <v>84</v>
      </c>
      <c r="H8" s="25" t="s">
        <v>7</v>
      </c>
      <c r="I8" s="17" t="s">
        <v>811</v>
      </c>
      <c r="J8" s="17" t="s">
        <v>97</v>
      </c>
      <c r="K8" s="17" t="s">
        <v>1301</v>
      </c>
      <c r="L8" s="17" t="s">
        <v>1302</v>
      </c>
      <c r="M8" s="17" t="s">
        <v>1303</v>
      </c>
      <c r="N8" s="17" t="s">
        <v>1304</v>
      </c>
      <c r="O8" s="17" t="s">
        <v>1305</v>
      </c>
      <c r="P8" s="17" t="s">
        <v>1306</v>
      </c>
      <c r="Q8" s="17" t="s">
        <v>1307</v>
      </c>
      <c r="R8" s="16" t="s">
        <v>65</v>
      </c>
      <c r="S8" s="16"/>
      <c r="T8" s="19" t="s">
        <v>1308</v>
      </c>
      <c r="U8" s="19" t="s">
        <v>67</v>
      </c>
    </row>
    <row r="9" customFormat="false" ht="96" hidden="false" customHeight="true" outlineLevel="0" collapsed="false">
      <c r="A9" s="16" t="n">
        <v>5</v>
      </c>
      <c r="B9" s="16" t="s">
        <v>1435</v>
      </c>
      <c r="C9" s="17" t="s">
        <v>1436</v>
      </c>
      <c r="D9" s="17" t="s">
        <v>1437</v>
      </c>
      <c r="E9" s="16" t="n">
        <v>2021</v>
      </c>
      <c r="F9" s="17" t="s">
        <v>71</v>
      </c>
      <c r="G9" s="16" t="s">
        <v>56</v>
      </c>
      <c r="H9" s="25" t="s">
        <v>7</v>
      </c>
      <c r="I9" s="17" t="s">
        <v>811</v>
      </c>
      <c r="J9" s="17" t="s">
        <v>447</v>
      </c>
      <c r="K9" s="17" t="s">
        <v>1438</v>
      </c>
      <c r="L9" s="17" t="s">
        <v>1439</v>
      </c>
      <c r="M9" s="17" t="s">
        <v>1440</v>
      </c>
      <c r="N9" s="17" t="s">
        <v>1304</v>
      </c>
      <c r="O9" s="17" t="s">
        <v>1441</v>
      </c>
      <c r="P9" s="17" t="s">
        <v>1442</v>
      </c>
      <c r="Q9" s="17" t="s">
        <v>1443</v>
      </c>
      <c r="R9" s="16" t="s">
        <v>65</v>
      </c>
      <c r="S9" s="16"/>
      <c r="T9" s="19" t="s">
        <v>1444</v>
      </c>
      <c r="U9" s="19" t="s">
        <v>67</v>
      </c>
    </row>
    <row r="10" customFormat="false" ht="96" hidden="false" customHeight="true" outlineLevel="0" collapsed="false">
      <c r="A10" s="16" t="n">
        <v>6</v>
      </c>
      <c r="B10" s="16" t="s">
        <v>1584</v>
      </c>
      <c r="C10" s="17" t="s">
        <v>1585</v>
      </c>
      <c r="D10" s="17" t="s">
        <v>1220</v>
      </c>
      <c r="E10" s="16" t="n">
        <v>2021</v>
      </c>
      <c r="F10" s="17" t="s">
        <v>1586</v>
      </c>
      <c r="G10" s="16" t="s">
        <v>84</v>
      </c>
      <c r="H10" s="25" t="s">
        <v>7</v>
      </c>
      <c r="I10" s="17" t="s">
        <v>811</v>
      </c>
      <c r="J10" s="17" t="s">
        <v>1587</v>
      </c>
      <c r="K10" s="17" t="s">
        <v>1588</v>
      </c>
      <c r="L10" s="17" t="s">
        <v>1589</v>
      </c>
      <c r="M10" s="17" t="s">
        <v>1590</v>
      </c>
      <c r="N10" s="17" t="s">
        <v>1591</v>
      </c>
      <c r="O10" s="17" t="s">
        <v>1592</v>
      </c>
      <c r="P10" s="17" t="s">
        <v>1593</v>
      </c>
      <c r="Q10" s="17" t="s">
        <v>1594</v>
      </c>
      <c r="R10" s="16" t="s">
        <v>65</v>
      </c>
      <c r="S10" s="16"/>
      <c r="T10" s="19" t="s">
        <v>1595</v>
      </c>
      <c r="U10" s="19" t="s">
        <v>67</v>
      </c>
    </row>
    <row r="11" customFormat="false" ht="96" hidden="false" customHeight="true" outlineLevel="0" collapsed="false">
      <c r="A11" s="16" t="n">
        <v>7</v>
      </c>
      <c r="B11" s="16" t="s">
        <v>1874</v>
      </c>
      <c r="C11" s="17" t="s">
        <v>1875</v>
      </c>
      <c r="D11" s="17" t="s">
        <v>1876</v>
      </c>
      <c r="E11" s="16" t="n">
        <v>2020</v>
      </c>
      <c r="F11" s="17" t="s">
        <v>1208</v>
      </c>
      <c r="G11" s="16" t="s">
        <v>84</v>
      </c>
      <c r="H11" s="25" t="s">
        <v>7</v>
      </c>
      <c r="I11" s="17" t="s">
        <v>811</v>
      </c>
      <c r="J11" s="17" t="s">
        <v>1877</v>
      </c>
      <c r="K11" s="17" t="s">
        <v>1878</v>
      </c>
      <c r="L11" s="17" t="s">
        <v>1879</v>
      </c>
      <c r="M11" s="17" t="s">
        <v>1880</v>
      </c>
      <c r="N11" s="17" t="s">
        <v>1881</v>
      </c>
      <c r="O11" s="17" t="s">
        <v>1882</v>
      </c>
      <c r="P11" s="17" t="s">
        <v>1883</v>
      </c>
      <c r="Q11" s="17" t="s">
        <v>1884</v>
      </c>
      <c r="R11" s="16" t="s">
        <v>65</v>
      </c>
      <c r="S11" s="16"/>
      <c r="T11" s="19" t="s">
        <v>1885</v>
      </c>
      <c r="U11" s="19" t="s">
        <v>67</v>
      </c>
    </row>
    <row r="12" customFormat="false" ht="96" hidden="false" customHeight="true" outlineLevel="0" collapsed="false">
      <c r="A12" s="16" t="n">
        <v>8</v>
      </c>
      <c r="B12" s="16" t="s">
        <v>1977</v>
      </c>
      <c r="C12" s="17" t="s">
        <v>1978</v>
      </c>
      <c r="D12" s="17" t="s">
        <v>1220</v>
      </c>
      <c r="E12" s="16" t="n">
        <v>2019</v>
      </c>
      <c r="F12" s="17" t="s">
        <v>1979</v>
      </c>
      <c r="G12" s="16" t="s">
        <v>446</v>
      </c>
      <c r="H12" s="25" t="s">
        <v>7</v>
      </c>
      <c r="I12" s="17" t="s">
        <v>811</v>
      </c>
      <c r="J12" s="17" t="s">
        <v>1980</v>
      </c>
      <c r="K12" s="17" t="s">
        <v>1981</v>
      </c>
      <c r="L12" s="17" t="s">
        <v>1982</v>
      </c>
      <c r="M12" s="17" t="s">
        <v>1983</v>
      </c>
      <c r="N12" s="17" t="s">
        <v>1984</v>
      </c>
      <c r="O12" s="17" t="s">
        <v>1592</v>
      </c>
      <c r="P12" s="17" t="s">
        <v>1985</v>
      </c>
      <c r="Q12" s="17" t="s">
        <v>1986</v>
      </c>
      <c r="R12" s="16" t="s">
        <v>65</v>
      </c>
      <c r="S12" s="16"/>
      <c r="T12" s="19" t="s">
        <v>1987</v>
      </c>
      <c r="U12" s="19" t="s">
        <v>67</v>
      </c>
    </row>
    <row r="13" customFormat="false" ht="96" hidden="false" customHeight="true" outlineLevel="0" collapsed="false">
      <c r="A13" s="16" t="n">
        <v>9</v>
      </c>
      <c r="B13" s="16" t="s">
        <v>2034</v>
      </c>
      <c r="C13" s="17" t="s">
        <v>2035</v>
      </c>
      <c r="D13" s="17" t="s">
        <v>2036</v>
      </c>
      <c r="E13" s="16" t="n">
        <v>2019</v>
      </c>
      <c r="F13" s="17" t="s">
        <v>327</v>
      </c>
      <c r="G13" s="16" t="s">
        <v>148</v>
      </c>
      <c r="H13" s="25" t="s">
        <v>7</v>
      </c>
      <c r="I13" s="17" t="s">
        <v>811</v>
      </c>
      <c r="J13" s="17" t="s">
        <v>2037</v>
      </c>
      <c r="K13" s="17" t="s">
        <v>2038</v>
      </c>
      <c r="L13" s="17" t="s">
        <v>2039</v>
      </c>
      <c r="M13" s="17" t="s">
        <v>2040</v>
      </c>
      <c r="N13" s="17" t="s">
        <v>2041</v>
      </c>
      <c r="O13" s="17" t="s">
        <v>817</v>
      </c>
      <c r="P13" s="17" t="s">
        <v>2042</v>
      </c>
      <c r="Q13" s="17" t="s">
        <v>2043</v>
      </c>
      <c r="R13" s="16" t="s">
        <v>65</v>
      </c>
      <c r="S13" s="16"/>
      <c r="T13" s="19" t="s">
        <v>2044</v>
      </c>
      <c r="U13" s="19" t="s">
        <v>67</v>
      </c>
    </row>
    <row r="14" customFormat="false" ht="96" hidden="false" customHeight="true" outlineLevel="0" collapsed="false">
      <c r="A14" s="16" t="n">
        <v>10</v>
      </c>
      <c r="B14" s="16" t="s">
        <v>2045</v>
      </c>
      <c r="C14" s="17" t="s">
        <v>2046</v>
      </c>
      <c r="D14" s="17" t="s">
        <v>2047</v>
      </c>
      <c r="E14" s="16" t="n">
        <v>2019</v>
      </c>
      <c r="F14" s="17" t="s">
        <v>2048</v>
      </c>
      <c r="G14" s="16" t="s">
        <v>199</v>
      </c>
      <c r="H14" s="25" t="s">
        <v>7</v>
      </c>
      <c r="I14" s="17" t="s">
        <v>811</v>
      </c>
      <c r="J14" s="17" t="s">
        <v>2049</v>
      </c>
      <c r="K14" s="17" t="s">
        <v>2050</v>
      </c>
      <c r="L14" s="17" t="s">
        <v>2051</v>
      </c>
      <c r="M14" s="17" t="s">
        <v>2052</v>
      </c>
      <c r="N14" s="17" t="s">
        <v>2053</v>
      </c>
      <c r="O14" s="17" t="s">
        <v>2054</v>
      </c>
      <c r="P14" s="17" t="s">
        <v>2055</v>
      </c>
      <c r="Q14" s="17" t="s">
        <v>2056</v>
      </c>
      <c r="R14" s="16" t="s">
        <v>65</v>
      </c>
      <c r="S14" s="16"/>
      <c r="T14" s="19" t="s">
        <v>2057</v>
      </c>
      <c r="U14" s="19" t="s">
        <v>67</v>
      </c>
    </row>
    <row r="15" customFormat="false" ht="96" hidden="false" customHeight="true" outlineLevel="0" collapsed="false">
      <c r="A15" s="16" t="n">
        <v>11</v>
      </c>
      <c r="B15" s="16" t="s">
        <v>2079</v>
      </c>
      <c r="C15" s="17" t="s">
        <v>2080</v>
      </c>
      <c r="D15" s="17" t="s">
        <v>2081</v>
      </c>
      <c r="E15" s="16" t="n">
        <v>2018</v>
      </c>
      <c r="F15" s="17" t="s">
        <v>71</v>
      </c>
      <c r="G15" s="16" t="s">
        <v>56</v>
      </c>
      <c r="H15" s="25" t="s">
        <v>7</v>
      </c>
      <c r="I15" s="17" t="s">
        <v>811</v>
      </c>
      <c r="J15" s="17" t="s">
        <v>2082</v>
      </c>
      <c r="K15" s="17" t="s">
        <v>2083</v>
      </c>
      <c r="L15" s="17" t="s">
        <v>2084</v>
      </c>
      <c r="M15" s="17" t="s">
        <v>2085</v>
      </c>
      <c r="N15" s="17" t="s">
        <v>2041</v>
      </c>
      <c r="O15" s="17" t="s">
        <v>2086</v>
      </c>
      <c r="P15" s="17" t="s">
        <v>2087</v>
      </c>
      <c r="Q15" s="17" t="s">
        <v>2088</v>
      </c>
      <c r="R15" s="16" t="s">
        <v>65</v>
      </c>
      <c r="S15" s="16"/>
      <c r="T15" s="19" t="s">
        <v>2089</v>
      </c>
      <c r="U15" s="19" t="s">
        <v>67</v>
      </c>
    </row>
    <row r="16" customFormat="false" ht="96" hidden="false" customHeight="true" outlineLevel="0" collapsed="false">
      <c r="A16" s="16" t="n">
        <v>12</v>
      </c>
      <c r="B16" s="16" t="s">
        <v>2124</v>
      </c>
      <c r="C16" s="17" t="s">
        <v>2125</v>
      </c>
      <c r="D16" s="17" t="s">
        <v>2047</v>
      </c>
      <c r="E16" s="16" t="n">
        <v>2018</v>
      </c>
      <c r="F16" s="17" t="s">
        <v>2126</v>
      </c>
      <c r="G16" s="16" t="s">
        <v>446</v>
      </c>
      <c r="H16" s="25" t="s">
        <v>7</v>
      </c>
      <c r="I16" s="17" t="s">
        <v>811</v>
      </c>
      <c r="J16" s="17" t="s">
        <v>2127</v>
      </c>
      <c r="K16" s="17" t="s">
        <v>2128</v>
      </c>
      <c r="L16" s="17" t="s">
        <v>2129</v>
      </c>
      <c r="M16" s="17" t="s">
        <v>2130</v>
      </c>
      <c r="N16" s="17" t="s">
        <v>2131</v>
      </c>
      <c r="O16" s="17" t="s">
        <v>2132</v>
      </c>
      <c r="P16" s="17" t="s">
        <v>2133</v>
      </c>
      <c r="Q16" s="17" t="s">
        <v>2134</v>
      </c>
      <c r="R16" s="16" t="s">
        <v>65</v>
      </c>
      <c r="S16" s="16"/>
      <c r="T16" s="19" t="s">
        <v>2135</v>
      </c>
      <c r="U16" s="19" t="s">
        <v>67</v>
      </c>
    </row>
    <row r="17" customFormat="false" ht="96" hidden="false" customHeight="true" outlineLevel="0" collapsed="false">
      <c r="A17" s="16" t="n">
        <v>13</v>
      </c>
      <c r="B17" s="16" t="s">
        <v>2301</v>
      </c>
      <c r="C17" s="17" t="s">
        <v>2302</v>
      </c>
      <c r="D17" s="17" t="s">
        <v>2303</v>
      </c>
      <c r="E17" s="16" t="n">
        <v>2016</v>
      </c>
      <c r="F17" s="17" t="s">
        <v>2280</v>
      </c>
      <c r="G17" s="16" t="s">
        <v>446</v>
      </c>
      <c r="H17" s="25" t="s">
        <v>7</v>
      </c>
      <c r="I17" s="17" t="s">
        <v>811</v>
      </c>
      <c r="J17" s="17" t="s">
        <v>2304</v>
      </c>
      <c r="K17" s="17" t="s">
        <v>2305</v>
      </c>
      <c r="L17" s="17" t="s">
        <v>2306</v>
      </c>
      <c r="M17" s="17" t="s">
        <v>2307</v>
      </c>
      <c r="N17" s="17" t="s">
        <v>2308</v>
      </c>
      <c r="O17" s="17" t="s">
        <v>2309</v>
      </c>
      <c r="P17" s="17" t="s">
        <v>2310</v>
      </c>
      <c r="Q17" s="17" t="s">
        <v>2311</v>
      </c>
      <c r="R17" s="16" t="s">
        <v>103</v>
      </c>
      <c r="S17" s="19" t="s">
        <v>2312</v>
      </c>
      <c r="T17" s="19" t="s">
        <v>2313</v>
      </c>
      <c r="U17" s="19" t="s">
        <v>67</v>
      </c>
    </row>
    <row r="18" customFormat="false" ht="96" hidden="false" customHeight="true" outlineLevel="0" collapsed="false">
      <c r="A18" s="16" t="n">
        <v>14</v>
      </c>
      <c r="B18" s="16" t="s">
        <v>2572</v>
      </c>
      <c r="C18" s="17" t="s">
        <v>2573</v>
      </c>
      <c r="D18" s="17" t="s">
        <v>2574</v>
      </c>
      <c r="E18" s="16" t="n">
        <v>2006</v>
      </c>
      <c r="F18" s="17" t="s">
        <v>2575</v>
      </c>
      <c r="G18" s="16" t="s">
        <v>446</v>
      </c>
      <c r="H18" s="25" t="s">
        <v>7</v>
      </c>
      <c r="I18" s="17" t="s">
        <v>811</v>
      </c>
      <c r="J18" s="17" t="s">
        <v>2576</v>
      </c>
      <c r="K18" s="17" t="s">
        <v>1109</v>
      </c>
      <c r="L18" s="17" t="s">
        <v>2577</v>
      </c>
      <c r="M18" s="17" t="s">
        <v>2578</v>
      </c>
      <c r="N18" s="17" t="s">
        <v>2579</v>
      </c>
      <c r="O18" s="17" t="s">
        <v>2580</v>
      </c>
      <c r="P18" s="17" t="s">
        <v>2581</v>
      </c>
      <c r="Q18" s="17" t="s">
        <v>2582</v>
      </c>
      <c r="R18" s="16" t="s">
        <v>65</v>
      </c>
      <c r="S18" s="16"/>
      <c r="T18" s="19" t="s">
        <v>2583</v>
      </c>
      <c r="U18" s="19" t="s">
        <v>67</v>
      </c>
    </row>
  </sheetData>
  <autoFilter ref="A4:U18"/>
  <hyperlinks>
    <hyperlink ref="S5" r:id="rId1" display="https://github.com/nv-tlabs/DP-Diffusion"/>
    <hyperlink ref="T5" r:id="rId2" display="https://arxiv.org/abs/2210.09929"/>
    <hyperlink ref="U5" r:id="rId3" display="Search"/>
    <hyperlink ref="T6" r:id="rId4" display="https://arxiv.org/abs/2302.13861"/>
    <hyperlink ref="U6" r:id="rId5" display="Search"/>
    <hyperlink ref="T7" r:id="rId6" display="https://doi.org/10.1016/j.future.2021.11.032"/>
    <hyperlink ref="U7" r:id="rId7" display="Search"/>
    <hyperlink ref="T8" r:id="rId8" display="https://arxiv.org/abs/2103.01745"/>
    <hyperlink ref="U8" r:id="rId9" display="Search"/>
    <hyperlink ref="T9" r:id="rId10" display="https://arxiv.org/abs/2103.07073"/>
    <hyperlink ref="U9" r:id="rId11" display="Search"/>
    <hyperlink ref="T10" r:id="rId12" display="https://doi.org/10.1007/s12083-021-01091-9"/>
    <hyperlink ref="U10" r:id="rId13" display="Search"/>
    <hyperlink ref="T11" r:id="rId14" display="https://doi.org/10.1016/j.cose.2020.101951"/>
    <hyperlink ref="U11" r:id="rId15" display="Search"/>
    <hyperlink ref="T12" r:id="rId16" display="https://doi.org/10.1007/978-3-030-29726-8_15"/>
    <hyperlink ref="U12" r:id="rId17" display="Search"/>
    <hyperlink ref="T13" r:id="rId18" display="https://openreview.net/forum?id=S1zk9iRqF7"/>
    <hyperlink ref="U13" r:id="rId19" display="Search"/>
    <hyperlink ref="T14" r:id="rId20" display="https://doi.org/10.1109/ICME.2019.00140"/>
    <hyperlink ref="U14" r:id="rId21" display="Search"/>
    <hyperlink ref="T15" r:id="rId22" display="https://arxiv.org/abs/1802.06739"/>
    <hyperlink ref="U15" r:id="rId23" display="Search"/>
    <hyperlink ref="T16" r:id="rId24" display="https://doi.org/10.1007/978-3-319-95729-6_10"/>
    <hyperlink ref="U16" r:id="rId25" display="Search"/>
    <hyperlink ref="S17" r:id="rId26" display="https://github.com/tensorflow/privacy"/>
    <hyperlink ref="T17" r:id="rId27" display="https://arxiv.org/abs/1607.00133"/>
    <hyperlink ref="U17" r:id="rId28" display="Search"/>
    <hyperlink ref="T18" r:id="rId29" display="https://doi.org/10.1007/11681878_14"/>
    <hyperlink ref="U18" r:id="rId30"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5</v>
      </c>
    </row>
    <row r="2" customFormat="false" ht="15" hidden="false" customHeight="false" outlineLevel="0" collapsed="false">
      <c r="A2" s="14" t="s">
        <v>2715</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1545</v>
      </c>
      <c r="C5" s="17" t="s">
        <v>1546</v>
      </c>
      <c r="D5" s="17" t="s">
        <v>1547</v>
      </c>
      <c r="E5" s="16" t="n">
        <v>2021</v>
      </c>
      <c r="F5" s="17" t="s">
        <v>661</v>
      </c>
      <c r="G5" s="16" t="s">
        <v>199</v>
      </c>
      <c r="H5" s="25" t="s">
        <v>5</v>
      </c>
      <c r="I5" s="17" t="s">
        <v>811</v>
      </c>
      <c r="J5" s="17" t="s">
        <v>1548</v>
      </c>
      <c r="K5" s="17" t="s">
        <v>1549</v>
      </c>
      <c r="L5" s="17" t="s">
        <v>1550</v>
      </c>
      <c r="M5" s="17" t="s">
        <v>1551</v>
      </c>
      <c r="N5" s="17" t="s">
        <v>1552</v>
      </c>
      <c r="O5" s="17" t="s">
        <v>1553</v>
      </c>
      <c r="P5" s="17" t="s">
        <v>1554</v>
      </c>
      <c r="Q5" s="17" t="s">
        <v>1555</v>
      </c>
      <c r="R5" s="16" t="s">
        <v>103</v>
      </c>
      <c r="S5" s="19" t="s">
        <v>1556</v>
      </c>
      <c r="T5" s="19" t="s">
        <v>1557</v>
      </c>
      <c r="U5" s="19" t="s">
        <v>67</v>
      </c>
    </row>
    <row r="6" customFormat="false" ht="96" hidden="false" customHeight="true" outlineLevel="0" collapsed="false">
      <c r="A6" s="16" t="n">
        <v>2</v>
      </c>
      <c r="B6" s="16" t="s">
        <v>2195</v>
      </c>
      <c r="C6" s="17" t="s">
        <v>2196</v>
      </c>
      <c r="D6" s="17" t="s">
        <v>2197</v>
      </c>
      <c r="E6" s="16" t="n">
        <v>2018</v>
      </c>
      <c r="F6" s="17" t="s">
        <v>350</v>
      </c>
      <c r="G6" s="16" t="s">
        <v>199</v>
      </c>
      <c r="H6" s="25" t="s">
        <v>5</v>
      </c>
      <c r="I6" s="17" t="s">
        <v>811</v>
      </c>
      <c r="J6" s="17" t="s">
        <v>2198</v>
      </c>
      <c r="K6" s="17" t="s">
        <v>2199</v>
      </c>
      <c r="L6" s="17" t="s">
        <v>2200</v>
      </c>
      <c r="M6" s="17" t="s">
        <v>2201</v>
      </c>
      <c r="N6" s="17" t="s">
        <v>2202</v>
      </c>
      <c r="O6" s="17" t="s">
        <v>2203</v>
      </c>
      <c r="P6" s="17" t="s">
        <v>2204</v>
      </c>
      <c r="Q6" s="17" t="s">
        <v>2205</v>
      </c>
      <c r="R6" s="16" t="s">
        <v>65</v>
      </c>
      <c r="S6" s="16"/>
      <c r="T6" s="19" t="s">
        <v>2206</v>
      </c>
      <c r="U6" s="19" t="s">
        <v>67</v>
      </c>
    </row>
    <row r="7" customFormat="false" ht="96" hidden="false" customHeight="true" outlineLevel="0" collapsed="false">
      <c r="A7" s="16" t="n">
        <v>3</v>
      </c>
      <c r="B7" s="16" t="s">
        <v>2207</v>
      </c>
      <c r="C7" s="17" t="s">
        <v>2208</v>
      </c>
      <c r="D7" s="17" t="s">
        <v>2209</v>
      </c>
      <c r="E7" s="16" t="n">
        <v>2018</v>
      </c>
      <c r="F7" s="17" t="s">
        <v>2210</v>
      </c>
      <c r="G7" s="16" t="s">
        <v>84</v>
      </c>
      <c r="H7" s="25" t="s">
        <v>5</v>
      </c>
      <c r="I7" s="17" t="s">
        <v>811</v>
      </c>
      <c r="J7" s="17" t="s">
        <v>2211</v>
      </c>
      <c r="K7" s="17" t="s">
        <v>2212</v>
      </c>
      <c r="L7" s="17" t="s">
        <v>2213</v>
      </c>
      <c r="M7" s="17" t="s">
        <v>2214</v>
      </c>
      <c r="N7" s="17" t="s">
        <v>2215</v>
      </c>
      <c r="O7" s="17" t="s">
        <v>2216</v>
      </c>
      <c r="P7" s="17" t="s">
        <v>2217</v>
      </c>
      <c r="Q7" s="17" t="s">
        <v>2218</v>
      </c>
      <c r="R7" s="16" t="s">
        <v>65</v>
      </c>
      <c r="S7" s="16"/>
      <c r="T7" s="19" t="s">
        <v>2219</v>
      </c>
      <c r="U7" s="19" t="s">
        <v>67</v>
      </c>
    </row>
    <row r="8" customFormat="false" ht="96" hidden="false" customHeight="true" outlineLevel="0" collapsed="false">
      <c r="A8" s="16" t="n">
        <v>4</v>
      </c>
      <c r="B8" s="16" t="s">
        <v>2255</v>
      </c>
      <c r="C8" s="17" t="s">
        <v>2256</v>
      </c>
      <c r="D8" s="17" t="s">
        <v>2257</v>
      </c>
      <c r="E8" s="16" t="n">
        <v>2017</v>
      </c>
      <c r="F8" s="17" t="s">
        <v>388</v>
      </c>
      <c r="G8" s="16" t="s">
        <v>148</v>
      </c>
      <c r="H8" s="25" t="s">
        <v>5</v>
      </c>
      <c r="I8" s="17" t="s">
        <v>811</v>
      </c>
      <c r="J8" s="17" t="s">
        <v>2258</v>
      </c>
      <c r="K8" s="17" t="s">
        <v>2259</v>
      </c>
      <c r="L8" s="17" t="s">
        <v>2260</v>
      </c>
      <c r="M8" s="17" t="s">
        <v>2261</v>
      </c>
      <c r="N8" s="17" t="s">
        <v>2262</v>
      </c>
      <c r="O8" s="17" t="s">
        <v>2263</v>
      </c>
      <c r="P8" s="17" t="s">
        <v>2264</v>
      </c>
      <c r="Q8" s="17" t="s">
        <v>2265</v>
      </c>
      <c r="R8" s="16" t="s">
        <v>65</v>
      </c>
      <c r="S8" s="16"/>
      <c r="T8" s="19" t="s">
        <v>2266</v>
      </c>
      <c r="U8" s="19" t="s">
        <v>67</v>
      </c>
    </row>
    <row r="9" customFormat="false" ht="96" hidden="false" customHeight="true" outlineLevel="0" collapsed="false">
      <c r="A9" s="16" t="n">
        <v>5</v>
      </c>
      <c r="B9" s="16" t="s">
        <v>2390</v>
      </c>
      <c r="C9" s="17" t="s">
        <v>2391</v>
      </c>
      <c r="D9" s="17" t="s">
        <v>2392</v>
      </c>
      <c r="E9" s="16" t="n">
        <v>2015</v>
      </c>
      <c r="F9" s="17" t="s">
        <v>2280</v>
      </c>
      <c r="G9" s="16" t="s">
        <v>446</v>
      </c>
      <c r="H9" s="25" t="s">
        <v>5</v>
      </c>
      <c r="I9" s="17" t="s">
        <v>811</v>
      </c>
      <c r="J9" s="17" t="s">
        <v>2393</v>
      </c>
      <c r="K9" s="17" t="s">
        <v>2394</v>
      </c>
      <c r="L9" s="17" t="s">
        <v>2395</v>
      </c>
      <c r="M9" s="17" t="s">
        <v>2396</v>
      </c>
      <c r="N9" s="17" t="s">
        <v>2397</v>
      </c>
      <c r="O9" s="17" t="s">
        <v>2398</v>
      </c>
      <c r="P9" s="17" t="s">
        <v>2399</v>
      </c>
      <c r="Q9" s="17" t="s">
        <v>2400</v>
      </c>
      <c r="R9" s="16" t="s">
        <v>65</v>
      </c>
      <c r="S9" s="16"/>
      <c r="T9" s="19" t="s">
        <v>2401</v>
      </c>
      <c r="U9" s="19" t="s">
        <v>67</v>
      </c>
    </row>
    <row r="10" customFormat="false" ht="96" hidden="false" customHeight="true" outlineLevel="0" collapsed="false">
      <c r="A10" s="16" t="n">
        <v>6</v>
      </c>
      <c r="B10" s="16" t="s">
        <v>2402</v>
      </c>
      <c r="C10" s="17" t="s">
        <v>2403</v>
      </c>
      <c r="D10" s="17" t="s">
        <v>2404</v>
      </c>
      <c r="E10" s="16" t="n">
        <v>2015</v>
      </c>
      <c r="F10" s="17" t="s">
        <v>209</v>
      </c>
      <c r="G10" s="16" t="s">
        <v>199</v>
      </c>
      <c r="H10" s="25" t="s">
        <v>5</v>
      </c>
      <c r="I10" s="17" t="s">
        <v>811</v>
      </c>
      <c r="J10" s="17" t="s">
        <v>2405</v>
      </c>
      <c r="K10" s="17" t="s">
        <v>2406</v>
      </c>
      <c r="L10" s="17" t="s">
        <v>2407</v>
      </c>
      <c r="M10" s="17" t="s">
        <v>2408</v>
      </c>
      <c r="N10" s="17" t="s">
        <v>2409</v>
      </c>
      <c r="O10" s="17" t="s">
        <v>2410</v>
      </c>
      <c r="P10" s="17" t="s">
        <v>2411</v>
      </c>
      <c r="Q10" s="17" t="s">
        <v>2412</v>
      </c>
      <c r="R10" s="16" t="s">
        <v>65</v>
      </c>
      <c r="S10" s="16"/>
      <c r="T10" s="19" t="s">
        <v>2413</v>
      </c>
      <c r="U10" s="19" t="s">
        <v>67</v>
      </c>
    </row>
    <row r="11" customFormat="false" ht="96" hidden="false" customHeight="true" outlineLevel="0" collapsed="false">
      <c r="A11" s="16" t="n">
        <v>7</v>
      </c>
      <c r="B11" s="16" t="s">
        <v>2449</v>
      </c>
      <c r="C11" s="17" t="s">
        <v>2450</v>
      </c>
      <c r="D11" s="17" t="s">
        <v>2451</v>
      </c>
      <c r="E11" s="16" t="n">
        <v>2013</v>
      </c>
      <c r="F11" s="17" t="s">
        <v>161</v>
      </c>
      <c r="G11" s="16" t="s">
        <v>162</v>
      </c>
      <c r="H11" s="25" t="s">
        <v>5</v>
      </c>
      <c r="I11" s="17" t="s">
        <v>811</v>
      </c>
      <c r="J11" s="17" t="s">
        <v>2452</v>
      </c>
      <c r="K11" s="17" t="s">
        <v>2453</v>
      </c>
      <c r="L11" s="17" t="s">
        <v>2454</v>
      </c>
      <c r="M11" s="17" t="s">
        <v>2455</v>
      </c>
      <c r="N11" s="17" t="s">
        <v>2456</v>
      </c>
      <c r="O11" s="17" t="s">
        <v>2457</v>
      </c>
      <c r="P11" s="17" t="s">
        <v>2458</v>
      </c>
      <c r="Q11" s="17" t="s">
        <v>2459</v>
      </c>
      <c r="R11" s="16" t="s">
        <v>65</v>
      </c>
      <c r="S11" s="16"/>
      <c r="T11" s="19" t="s">
        <v>2460</v>
      </c>
      <c r="U11" s="19" t="s">
        <v>67</v>
      </c>
    </row>
    <row r="12" customFormat="false" ht="96" hidden="false" customHeight="true" outlineLevel="0" collapsed="false">
      <c r="A12" s="16" t="n">
        <v>8</v>
      </c>
      <c r="B12" s="16" t="s">
        <v>2498</v>
      </c>
      <c r="C12" s="17" t="s">
        <v>2499</v>
      </c>
      <c r="D12" s="17" t="s">
        <v>2500</v>
      </c>
      <c r="E12" s="16" t="n">
        <v>2009</v>
      </c>
      <c r="F12" s="17" t="s">
        <v>2501</v>
      </c>
      <c r="G12" s="16" t="s">
        <v>162</v>
      </c>
      <c r="H12" s="25" t="s">
        <v>5</v>
      </c>
      <c r="I12" s="17" t="s">
        <v>811</v>
      </c>
      <c r="J12" s="17" t="s">
        <v>2502</v>
      </c>
      <c r="K12" s="17" t="s">
        <v>2503</v>
      </c>
      <c r="L12" s="17" t="s">
        <v>2504</v>
      </c>
      <c r="M12" s="17" t="s">
        <v>2505</v>
      </c>
      <c r="N12" s="17" t="s">
        <v>2506</v>
      </c>
      <c r="O12" s="17" t="s">
        <v>2445</v>
      </c>
      <c r="P12" s="17" t="s">
        <v>2507</v>
      </c>
      <c r="Q12" s="17" t="s">
        <v>2508</v>
      </c>
      <c r="R12" s="16" t="s">
        <v>65</v>
      </c>
      <c r="S12" s="16"/>
      <c r="T12" s="19" t="s">
        <v>2509</v>
      </c>
      <c r="U12" s="19" t="s">
        <v>67</v>
      </c>
    </row>
    <row r="13" customFormat="false" ht="96" hidden="false" customHeight="true" outlineLevel="0" collapsed="false">
      <c r="A13" s="16" t="n">
        <v>9</v>
      </c>
      <c r="B13" s="16" t="s">
        <v>2510</v>
      </c>
      <c r="C13" s="17" t="s">
        <v>2511</v>
      </c>
      <c r="D13" s="17" t="s">
        <v>2512</v>
      </c>
      <c r="E13" s="16" t="n">
        <v>2009</v>
      </c>
      <c r="F13" s="17" t="s">
        <v>661</v>
      </c>
      <c r="G13" s="16" t="s">
        <v>199</v>
      </c>
      <c r="H13" s="25" t="s">
        <v>5</v>
      </c>
      <c r="I13" s="17" t="s">
        <v>811</v>
      </c>
      <c r="J13" s="17" t="s">
        <v>2513</v>
      </c>
      <c r="K13" s="17" t="s">
        <v>2514</v>
      </c>
      <c r="L13" s="17" t="s">
        <v>2515</v>
      </c>
      <c r="M13" s="17" t="s">
        <v>2516</v>
      </c>
      <c r="N13" s="17" t="s">
        <v>2517</v>
      </c>
      <c r="O13" s="17" t="s">
        <v>2518</v>
      </c>
      <c r="P13" s="17" t="s">
        <v>2519</v>
      </c>
      <c r="Q13" s="17" t="s">
        <v>2520</v>
      </c>
      <c r="R13" s="16" t="s">
        <v>65</v>
      </c>
      <c r="S13" s="16"/>
      <c r="T13" s="19" t="s">
        <v>2521</v>
      </c>
      <c r="U13" s="19" t="s">
        <v>67</v>
      </c>
    </row>
    <row r="14" customFormat="false" ht="96" hidden="false" customHeight="true" outlineLevel="0" collapsed="false">
      <c r="A14" s="16" t="n">
        <v>10</v>
      </c>
      <c r="B14" s="16" t="s">
        <v>2533</v>
      </c>
      <c r="C14" s="17" t="s">
        <v>2534</v>
      </c>
      <c r="D14" s="17" t="s">
        <v>2535</v>
      </c>
      <c r="E14" s="16" t="n">
        <v>2008</v>
      </c>
      <c r="F14" s="17" t="s">
        <v>2536</v>
      </c>
      <c r="G14" s="16" t="s">
        <v>199</v>
      </c>
      <c r="H14" s="25" t="s">
        <v>5</v>
      </c>
      <c r="I14" s="17" t="s">
        <v>811</v>
      </c>
      <c r="J14" s="17" t="s">
        <v>2537</v>
      </c>
      <c r="K14" s="17" t="s">
        <v>2538</v>
      </c>
      <c r="L14" s="17" t="s">
        <v>2539</v>
      </c>
      <c r="M14" s="17" t="s">
        <v>2540</v>
      </c>
      <c r="N14" s="17" t="s">
        <v>2541</v>
      </c>
      <c r="O14" s="17" t="s">
        <v>2542</v>
      </c>
      <c r="P14" s="17" t="s">
        <v>2543</v>
      </c>
      <c r="Q14" s="17" t="s">
        <v>2544</v>
      </c>
      <c r="R14" s="16" t="s">
        <v>65</v>
      </c>
      <c r="S14" s="16"/>
      <c r="T14" s="19" t="s">
        <v>2545</v>
      </c>
      <c r="U14" s="19" t="s">
        <v>67</v>
      </c>
    </row>
    <row r="15" customFormat="false" ht="96" hidden="false" customHeight="true" outlineLevel="0" collapsed="false">
      <c r="A15" s="16" t="n">
        <v>11</v>
      </c>
      <c r="B15" s="16" t="s">
        <v>2546</v>
      </c>
      <c r="C15" s="17" t="s">
        <v>2547</v>
      </c>
      <c r="D15" s="17" t="s">
        <v>2548</v>
      </c>
      <c r="E15" s="16" t="n">
        <v>2008</v>
      </c>
      <c r="F15" s="17" t="s">
        <v>2549</v>
      </c>
      <c r="G15" s="16" t="s">
        <v>84</v>
      </c>
      <c r="H15" s="25" t="s">
        <v>5</v>
      </c>
      <c r="I15" s="17" t="s">
        <v>811</v>
      </c>
      <c r="J15" s="17" t="s">
        <v>2550</v>
      </c>
      <c r="K15" s="17" t="s">
        <v>2551</v>
      </c>
      <c r="L15" s="17" t="s">
        <v>2552</v>
      </c>
      <c r="M15" s="17" t="s">
        <v>2553</v>
      </c>
      <c r="N15" s="17" t="s">
        <v>2554</v>
      </c>
      <c r="O15" s="17" t="s">
        <v>2555</v>
      </c>
      <c r="P15" s="17" t="s">
        <v>2556</v>
      </c>
      <c r="Q15" s="17" t="s">
        <v>2557</v>
      </c>
      <c r="R15" s="16" t="s">
        <v>65</v>
      </c>
      <c r="S15" s="16"/>
      <c r="T15" s="19" t="s">
        <v>2558</v>
      </c>
      <c r="U15" s="19" t="s">
        <v>67</v>
      </c>
    </row>
    <row r="16" customFormat="false" ht="96" hidden="false" customHeight="true" outlineLevel="0" collapsed="false">
      <c r="A16" s="16" t="n">
        <v>12</v>
      </c>
      <c r="B16" s="16" t="s">
        <v>2559</v>
      </c>
      <c r="C16" s="17" t="s">
        <v>2560</v>
      </c>
      <c r="D16" s="17" t="s">
        <v>2561</v>
      </c>
      <c r="E16" s="16" t="n">
        <v>2006</v>
      </c>
      <c r="F16" s="17" t="s">
        <v>2562</v>
      </c>
      <c r="G16" s="16" t="s">
        <v>84</v>
      </c>
      <c r="H16" s="25" t="s">
        <v>5</v>
      </c>
      <c r="I16" s="17" t="s">
        <v>811</v>
      </c>
      <c r="J16" s="17" t="s">
        <v>2563</v>
      </c>
      <c r="K16" s="17" t="s">
        <v>2564</v>
      </c>
      <c r="L16" s="17" t="s">
        <v>2565</v>
      </c>
      <c r="M16" s="17" t="s">
        <v>2566</v>
      </c>
      <c r="N16" s="17" t="s">
        <v>2567</v>
      </c>
      <c r="O16" s="17" t="s">
        <v>2568</v>
      </c>
      <c r="P16" s="17" t="s">
        <v>2569</v>
      </c>
      <c r="Q16" s="17" t="s">
        <v>2570</v>
      </c>
      <c r="R16" s="16" t="s">
        <v>65</v>
      </c>
      <c r="S16" s="16"/>
      <c r="T16" s="19" t="s">
        <v>2571</v>
      </c>
      <c r="U16" s="19" t="s">
        <v>67</v>
      </c>
    </row>
    <row r="17" customFormat="false" ht="96" hidden="false" customHeight="true" outlineLevel="0" collapsed="false">
      <c r="A17" s="16" t="n">
        <v>13</v>
      </c>
      <c r="B17" s="16" t="s">
        <v>2584</v>
      </c>
      <c r="C17" s="17" t="s">
        <v>2585</v>
      </c>
      <c r="D17" s="17" t="s">
        <v>2586</v>
      </c>
      <c r="E17" s="16" t="n">
        <v>2006</v>
      </c>
      <c r="F17" s="17" t="s">
        <v>237</v>
      </c>
      <c r="G17" s="16" t="s">
        <v>199</v>
      </c>
      <c r="H17" s="25" t="s">
        <v>5</v>
      </c>
      <c r="I17" s="17" t="s">
        <v>811</v>
      </c>
      <c r="J17" s="17" t="s">
        <v>2587</v>
      </c>
      <c r="K17" s="17" t="s">
        <v>2588</v>
      </c>
      <c r="L17" s="17" t="s">
        <v>2589</v>
      </c>
      <c r="M17" s="17" t="s">
        <v>2590</v>
      </c>
      <c r="N17" s="17" t="s">
        <v>2591</v>
      </c>
      <c r="O17" s="17" t="s">
        <v>2592</v>
      </c>
      <c r="P17" s="17" t="s">
        <v>2593</v>
      </c>
      <c r="Q17" s="17" t="s">
        <v>2594</v>
      </c>
      <c r="R17" s="16" t="s">
        <v>65</v>
      </c>
      <c r="S17" s="16"/>
      <c r="T17" s="19" t="s">
        <v>2595</v>
      </c>
      <c r="U17" s="19" t="s">
        <v>67</v>
      </c>
    </row>
    <row r="18" customFormat="false" ht="96" hidden="false" customHeight="true" outlineLevel="0" collapsed="false">
      <c r="A18" s="16" t="n">
        <v>14</v>
      </c>
      <c r="B18" s="16" t="s">
        <v>2596</v>
      </c>
      <c r="C18" s="17" t="s">
        <v>2597</v>
      </c>
      <c r="D18" s="17" t="s">
        <v>2598</v>
      </c>
      <c r="E18" s="16" t="n">
        <v>2005</v>
      </c>
      <c r="F18" s="17" t="s">
        <v>2599</v>
      </c>
      <c r="G18" s="16" t="s">
        <v>446</v>
      </c>
      <c r="H18" s="25" t="s">
        <v>5</v>
      </c>
      <c r="I18" s="17" t="s">
        <v>811</v>
      </c>
      <c r="J18" s="17" t="s">
        <v>2600</v>
      </c>
      <c r="K18" s="17" t="s">
        <v>2601</v>
      </c>
      <c r="L18" s="17" t="s">
        <v>2602</v>
      </c>
      <c r="M18" s="17" t="s">
        <v>2603</v>
      </c>
      <c r="N18" s="17" t="s">
        <v>2591</v>
      </c>
      <c r="O18" s="17" t="s">
        <v>2604</v>
      </c>
      <c r="P18" s="17" t="s">
        <v>2605</v>
      </c>
      <c r="Q18" s="17" t="s">
        <v>2606</v>
      </c>
      <c r="R18" s="16" t="s">
        <v>65</v>
      </c>
      <c r="S18" s="16"/>
      <c r="T18" s="19" t="s">
        <v>2607</v>
      </c>
      <c r="U18" s="19" t="s">
        <v>67</v>
      </c>
    </row>
    <row r="19" customFormat="false" ht="96" hidden="false" customHeight="true" outlineLevel="0" collapsed="false">
      <c r="A19" s="16" t="n">
        <v>15</v>
      </c>
      <c r="B19" s="16" t="s">
        <v>2608</v>
      </c>
      <c r="C19" s="17" t="s">
        <v>2609</v>
      </c>
      <c r="D19" s="17" t="s">
        <v>2610</v>
      </c>
      <c r="E19" s="16" t="n">
        <v>2005</v>
      </c>
      <c r="F19" s="17" t="s">
        <v>2611</v>
      </c>
      <c r="G19" s="16" t="s">
        <v>84</v>
      </c>
      <c r="H19" s="25" t="s">
        <v>5</v>
      </c>
      <c r="I19" s="17" t="s">
        <v>811</v>
      </c>
      <c r="J19" s="17" t="s">
        <v>2600</v>
      </c>
      <c r="K19" s="17" t="s">
        <v>2612</v>
      </c>
      <c r="L19" s="17" t="s">
        <v>2613</v>
      </c>
      <c r="M19" s="17" t="s">
        <v>2614</v>
      </c>
      <c r="N19" s="17" t="s">
        <v>2615</v>
      </c>
      <c r="O19" s="17" t="s">
        <v>2616</v>
      </c>
      <c r="P19" s="17" t="s">
        <v>2617</v>
      </c>
      <c r="Q19" s="17" t="s">
        <v>2618</v>
      </c>
      <c r="R19" s="16" t="s">
        <v>65</v>
      </c>
      <c r="S19" s="16"/>
      <c r="T19" s="19" t="s">
        <v>2619</v>
      </c>
      <c r="U19" s="19" t="s">
        <v>67</v>
      </c>
    </row>
    <row r="20" customFormat="false" ht="96" hidden="false" customHeight="true" outlineLevel="0" collapsed="false">
      <c r="A20" s="16" t="n">
        <v>16</v>
      </c>
      <c r="B20" s="16" t="s">
        <v>2657</v>
      </c>
      <c r="C20" s="17" t="s">
        <v>2658</v>
      </c>
      <c r="D20" s="17" t="s">
        <v>2659</v>
      </c>
      <c r="E20" s="16" t="n">
        <v>2000</v>
      </c>
      <c r="F20" s="17" t="s">
        <v>2660</v>
      </c>
      <c r="G20" s="16" t="s">
        <v>162</v>
      </c>
      <c r="H20" s="25" t="s">
        <v>5</v>
      </c>
      <c r="I20" s="17" t="s">
        <v>811</v>
      </c>
      <c r="J20" s="17" t="s">
        <v>2661</v>
      </c>
      <c r="K20" s="17" t="s">
        <v>2564</v>
      </c>
      <c r="L20" s="17" t="s">
        <v>2662</v>
      </c>
      <c r="M20" s="17" t="s">
        <v>2663</v>
      </c>
      <c r="N20" s="17" t="s">
        <v>2664</v>
      </c>
      <c r="O20" s="17" t="s">
        <v>2665</v>
      </c>
      <c r="P20" s="17" t="s">
        <v>2666</v>
      </c>
      <c r="Q20" s="17" t="s">
        <v>2667</v>
      </c>
      <c r="R20" s="16" t="s">
        <v>65</v>
      </c>
      <c r="S20" s="16"/>
      <c r="T20" s="19" t="s">
        <v>2668</v>
      </c>
      <c r="U20" s="19" t="s">
        <v>67</v>
      </c>
    </row>
  </sheetData>
  <autoFilter ref="A4:U20"/>
  <hyperlinks>
    <hyperlink ref="S5" r:id="rId1" display="https://github.com/carlosh93/privacy-optics-hpe"/>
    <hyperlink ref="T5" r:id="rId2" display="https://openaccess.thecvf.com/content/ICCV2021/html/Hinojosa_Learning_Privacy-Preserving_Optics_for_Human_Pose_Estimation_ICCV_2021_paper.html"/>
    <hyperlink ref="U5" r:id="rId3" display="Search"/>
    <hyperlink ref="T6" r:id="rId4" display="https://arxiv.org/abs/1807.08379"/>
    <hyperlink ref="U6" r:id="rId5" display="Search"/>
    <hyperlink ref="T7" r:id="rId6" display="https://doi.org/10.3390/e20010060"/>
    <hyperlink ref="U7" r:id="rId7" display="Search"/>
    <hyperlink ref="T8" r:id="rId8" display="https://ojs.aaai.org/index.php/AAAI/article/view/11233"/>
    <hyperlink ref="U8" r:id="rId9" display="Search"/>
    <hyperlink ref="T9" r:id="rId10" display="https://doi.org/10.1145/2810103.2813603"/>
    <hyperlink ref="U9" r:id="rId11" display="Search"/>
    <hyperlink ref="T10" r:id="rId12" display="https://doi.org/10.1109/CVPR.2015.7298658"/>
    <hyperlink ref="U10" r:id="rId13" display="Search"/>
    <hyperlink ref="T11" r:id="rId14" display="https://doi.org/10.1109/ICDSP.2013.6622791"/>
    <hyperlink ref="U11" r:id="rId15" display="Search"/>
    <hyperlink ref="T12" r:id="rId16" display="https://doi.org/10.1007/978-1-84882-301-3_8"/>
    <hyperlink ref="U12" r:id="rId17" display="Search"/>
    <hyperlink ref="T13" r:id="rId18" display="https://doi.org/10.1109/ICCV.2009.5459413"/>
    <hyperlink ref="U13" r:id="rId19" display="Search"/>
    <hyperlink ref="T14" r:id="rId20" display="https://doi.org/10.1145/1360612.1360638"/>
    <hyperlink ref="U14" r:id="rId21" display="Search"/>
    <hyperlink ref="T15" r:id="rId22" display="https://doi.org/10.1109/TCSVT.2008.928225"/>
    <hyperlink ref="U15" r:id="rId23" display="Search"/>
    <hyperlink ref="T16" r:id="rId24" display="https://doi.org/10.1145/1143518.1143519"/>
    <hyperlink ref="U16" r:id="rId25" display="Search"/>
    <hyperlink ref="T17" r:id="rId26" display="https://doi.org/10.1109/CVPRW.2006.125"/>
    <hyperlink ref="U17" r:id="rId27" display="Search"/>
    <hyperlink ref="T18" r:id="rId28" display="https://doi.org/10.1007/11767831_15"/>
    <hyperlink ref="U18" r:id="rId29" display="Search"/>
    <hyperlink ref="T19" r:id="rId30" display="https://doi.org/10.1109/TKDE.2005.32"/>
    <hyperlink ref="U19" r:id="rId31" display="Search"/>
    <hyperlink ref="T20" r:id="rId32" display="https://doi.org/10.1145/358916.358935"/>
    <hyperlink ref="U20" r:id="rId33"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4"/>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23</v>
      </c>
    </row>
    <row r="2" customFormat="false" ht="15" hidden="false" customHeight="false" outlineLevel="0" collapsed="false">
      <c r="A2" s="14" t="s">
        <v>2716</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52</v>
      </c>
      <c r="C5" s="17" t="s">
        <v>53</v>
      </c>
      <c r="D5" s="17" t="s">
        <v>54</v>
      </c>
      <c r="E5" s="16" t="n">
        <v>2026</v>
      </c>
      <c r="F5" s="17" t="s">
        <v>55</v>
      </c>
      <c r="G5" s="16" t="s">
        <v>56</v>
      </c>
      <c r="H5" s="18" t="s">
        <v>23</v>
      </c>
      <c r="I5" s="17" t="s">
        <v>23</v>
      </c>
      <c r="J5" s="17" t="s">
        <v>57</v>
      </c>
      <c r="K5" s="17" t="s">
        <v>58</v>
      </c>
      <c r="L5" s="17" t="s">
        <v>59</v>
      </c>
      <c r="M5" s="17" t="s">
        <v>60</v>
      </c>
      <c r="N5" s="17" t="s">
        <v>61</v>
      </c>
      <c r="O5" s="17" t="s">
        <v>62</v>
      </c>
      <c r="P5" s="17" t="s">
        <v>63</v>
      </c>
      <c r="Q5" s="17" t="s">
        <v>64</v>
      </c>
      <c r="R5" s="16" t="s">
        <v>65</v>
      </c>
      <c r="S5" s="16"/>
      <c r="T5" s="19" t="s">
        <v>66</v>
      </c>
      <c r="U5" s="19" t="s">
        <v>67</v>
      </c>
    </row>
    <row r="6" customFormat="false" ht="96" hidden="false" customHeight="true" outlineLevel="0" collapsed="false">
      <c r="A6" s="16" t="n">
        <v>2</v>
      </c>
      <c r="B6" s="16" t="s">
        <v>80</v>
      </c>
      <c r="C6" s="17" t="s">
        <v>81</v>
      </c>
      <c r="D6" s="17" t="s">
        <v>82</v>
      </c>
      <c r="E6" s="16" t="n">
        <v>2026</v>
      </c>
      <c r="F6" s="17" t="s">
        <v>83</v>
      </c>
      <c r="G6" s="16" t="s">
        <v>84</v>
      </c>
      <c r="H6" s="18" t="s">
        <v>23</v>
      </c>
      <c r="I6" s="17" t="s">
        <v>23</v>
      </c>
      <c r="J6" s="17" t="s">
        <v>85</v>
      </c>
      <c r="K6" s="17" t="s">
        <v>86</v>
      </c>
      <c r="L6" s="17" t="s">
        <v>87</v>
      </c>
      <c r="M6" s="17" t="s">
        <v>88</v>
      </c>
      <c r="N6" s="17" t="s">
        <v>89</v>
      </c>
      <c r="O6" s="17" t="s">
        <v>76</v>
      </c>
      <c r="P6" s="17" t="s">
        <v>90</v>
      </c>
      <c r="Q6" s="17" t="s">
        <v>91</v>
      </c>
      <c r="R6" s="16" t="s">
        <v>65</v>
      </c>
      <c r="S6" s="16"/>
      <c r="T6" s="19" t="s">
        <v>92</v>
      </c>
      <c r="U6" s="19" t="s">
        <v>67</v>
      </c>
    </row>
    <row r="7" customFormat="false" ht="96" hidden="false" customHeight="true" outlineLevel="0" collapsed="false">
      <c r="A7" s="16" t="n">
        <v>3</v>
      </c>
      <c r="B7" s="16" t="s">
        <v>111</v>
      </c>
      <c r="C7" s="17" t="s">
        <v>112</v>
      </c>
      <c r="D7" s="17" t="s">
        <v>113</v>
      </c>
      <c r="E7" s="16" t="n">
        <v>2026</v>
      </c>
      <c r="F7" s="17" t="s">
        <v>71</v>
      </c>
      <c r="G7" s="16" t="s">
        <v>56</v>
      </c>
      <c r="H7" s="18" t="s">
        <v>23</v>
      </c>
      <c r="I7" s="17" t="s">
        <v>23</v>
      </c>
      <c r="J7" s="17" t="s">
        <v>114</v>
      </c>
      <c r="K7" s="17" t="s">
        <v>115</v>
      </c>
      <c r="L7" s="17" t="s">
        <v>116</v>
      </c>
      <c r="M7" s="17" t="s">
        <v>117</v>
      </c>
      <c r="N7" s="17" t="s">
        <v>118</v>
      </c>
      <c r="O7" s="17" t="s">
        <v>76</v>
      </c>
      <c r="P7" s="17" t="s">
        <v>119</v>
      </c>
      <c r="Q7" s="17" t="s">
        <v>120</v>
      </c>
      <c r="R7" s="16" t="s">
        <v>65</v>
      </c>
      <c r="S7" s="16"/>
      <c r="T7" s="19" t="s">
        <v>121</v>
      </c>
      <c r="U7" s="19" t="s">
        <v>67</v>
      </c>
    </row>
    <row r="8" customFormat="false" ht="96" hidden="false" customHeight="true" outlineLevel="0" collapsed="false">
      <c r="A8" s="16" t="n">
        <v>4</v>
      </c>
      <c r="B8" s="16" t="s">
        <v>144</v>
      </c>
      <c r="C8" s="17" t="s">
        <v>145</v>
      </c>
      <c r="D8" s="17" t="s">
        <v>146</v>
      </c>
      <c r="E8" s="16" t="n">
        <v>2025</v>
      </c>
      <c r="F8" s="17" t="s">
        <v>147</v>
      </c>
      <c r="G8" s="16" t="s">
        <v>148</v>
      </c>
      <c r="H8" s="18" t="s">
        <v>23</v>
      </c>
      <c r="I8" s="17" t="s">
        <v>23</v>
      </c>
      <c r="J8" s="17" t="s">
        <v>149</v>
      </c>
      <c r="K8" s="17" t="s">
        <v>150</v>
      </c>
      <c r="L8" s="17" t="s">
        <v>151</v>
      </c>
      <c r="M8" s="17" t="s">
        <v>152</v>
      </c>
      <c r="N8" s="17" t="s">
        <v>153</v>
      </c>
      <c r="O8" s="17" t="s">
        <v>76</v>
      </c>
      <c r="P8" s="17" t="s">
        <v>154</v>
      </c>
      <c r="Q8" s="17" t="s">
        <v>155</v>
      </c>
      <c r="R8" s="16" t="s">
        <v>103</v>
      </c>
      <c r="S8" s="19" t="s">
        <v>156</v>
      </c>
      <c r="T8" s="19" t="s">
        <v>157</v>
      </c>
      <c r="U8" s="19" t="s">
        <v>67</v>
      </c>
    </row>
    <row r="9" customFormat="false" ht="96" hidden="false" customHeight="true" outlineLevel="0" collapsed="false">
      <c r="A9" s="16" t="n">
        <v>5</v>
      </c>
      <c r="B9" s="16" t="s">
        <v>158</v>
      </c>
      <c r="C9" s="17" t="s">
        <v>159</v>
      </c>
      <c r="D9" s="17" t="s">
        <v>160</v>
      </c>
      <c r="E9" s="16" t="n">
        <v>2025</v>
      </c>
      <c r="F9" s="17" t="s">
        <v>161</v>
      </c>
      <c r="G9" s="16" t="s">
        <v>162</v>
      </c>
      <c r="H9" s="18" t="s">
        <v>23</v>
      </c>
      <c r="I9" s="17" t="s">
        <v>23</v>
      </c>
      <c r="J9" s="17" t="s">
        <v>163</v>
      </c>
      <c r="K9" s="17" t="s">
        <v>164</v>
      </c>
      <c r="L9" s="17" t="s">
        <v>165</v>
      </c>
      <c r="M9" s="17" t="s">
        <v>166</v>
      </c>
      <c r="N9" s="17" t="s">
        <v>167</v>
      </c>
      <c r="O9" s="17" t="s">
        <v>168</v>
      </c>
      <c r="P9" s="17" t="s">
        <v>169</v>
      </c>
      <c r="Q9" s="17" t="s">
        <v>170</v>
      </c>
      <c r="R9" s="16" t="s">
        <v>65</v>
      </c>
      <c r="S9" s="16"/>
      <c r="T9" s="19" t="s">
        <v>171</v>
      </c>
      <c r="U9" s="19" t="s">
        <v>67</v>
      </c>
    </row>
    <row r="10" customFormat="false" ht="96" hidden="false" customHeight="true" outlineLevel="0" collapsed="false">
      <c r="A10" s="16" t="n">
        <v>6</v>
      </c>
      <c r="B10" s="16" t="s">
        <v>234</v>
      </c>
      <c r="C10" s="17" t="s">
        <v>235</v>
      </c>
      <c r="D10" s="17" t="s">
        <v>236</v>
      </c>
      <c r="E10" s="16" t="n">
        <v>2025</v>
      </c>
      <c r="F10" s="17" t="s">
        <v>237</v>
      </c>
      <c r="G10" s="16" t="s">
        <v>199</v>
      </c>
      <c r="H10" s="18" t="s">
        <v>23</v>
      </c>
      <c r="I10" s="17" t="s">
        <v>23</v>
      </c>
      <c r="J10" s="17" t="s">
        <v>238</v>
      </c>
      <c r="K10" s="17" t="s">
        <v>239</v>
      </c>
      <c r="L10" s="17" t="s">
        <v>240</v>
      </c>
      <c r="M10" s="17" t="s">
        <v>241</v>
      </c>
      <c r="N10" s="17" t="s">
        <v>242</v>
      </c>
      <c r="O10" s="17" t="s">
        <v>76</v>
      </c>
      <c r="P10" s="17" t="s">
        <v>243</v>
      </c>
      <c r="Q10" s="17" t="s">
        <v>244</v>
      </c>
      <c r="R10" s="16" t="s">
        <v>65</v>
      </c>
      <c r="S10" s="16"/>
      <c r="T10" s="19" t="s">
        <v>245</v>
      </c>
      <c r="U10" s="19" t="s">
        <v>67</v>
      </c>
    </row>
    <row r="11" customFormat="false" ht="96" hidden="false" customHeight="true" outlineLevel="0" collapsed="false">
      <c r="A11" s="16" t="n">
        <v>7</v>
      </c>
      <c r="B11" s="16" t="s">
        <v>266</v>
      </c>
      <c r="C11" s="17" t="s">
        <v>267</v>
      </c>
      <c r="D11" s="17" t="s">
        <v>268</v>
      </c>
      <c r="E11" s="16" t="n">
        <v>2025</v>
      </c>
      <c r="F11" s="17" t="s">
        <v>71</v>
      </c>
      <c r="G11" s="16" t="s">
        <v>56</v>
      </c>
      <c r="H11" s="18" t="s">
        <v>23</v>
      </c>
      <c r="I11" s="17" t="s">
        <v>23</v>
      </c>
      <c r="J11" s="17" t="s">
        <v>114</v>
      </c>
      <c r="K11" s="17" t="s">
        <v>269</v>
      </c>
      <c r="L11" s="17" t="s">
        <v>270</v>
      </c>
      <c r="M11" s="17" t="s">
        <v>271</v>
      </c>
      <c r="N11" s="17" t="s">
        <v>272</v>
      </c>
      <c r="O11" s="17" t="s">
        <v>76</v>
      </c>
      <c r="P11" s="17" t="s">
        <v>273</v>
      </c>
      <c r="Q11" s="17" t="s">
        <v>274</v>
      </c>
      <c r="R11" s="16" t="s">
        <v>65</v>
      </c>
      <c r="S11" s="16"/>
      <c r="T11" s="19" t="s">
        <v>275</v>
      </c>
      <c r="U11" s="19" t="s">
        <v>67</v>
      </c>
    </row>
    <row r="12" customFormat="false" ht="96" hidden="false" customHeight="true" outlineLevel="0" collapsed="false">
      <c r="A12" s="16" t="n">
        <v>8</v>
      </c>
      <c r="B12" s="16" t="s">
        <v>361</v>
      </c>
      <c r="C12" s="17" t="s">
        <v>362</v>
      </c>
      <c r="D12" s="17" t="s">
        <v>363</v>
      </c>
      <c r="E12" s="16" t="n">
        <v>2024</v>
      </c>
      <c r="F12" s="17" t="s">
        <v>209</v>
      </c>
      <c r="G12" s="16" t="s">
        <v>199</v>
      </c>
      <c r="H12" s="18" t="s">
        <v>23</v>
      </c>
      <c r="I12" s="17" t="s">
        <v>23</v>
      </c>
      <c r="J12" s="17" t="s">
        <v>364</v>
      </c>
      <c r="K12" s="17" t="s">
        <v>365</v>
      </c>
      <c r="L12" s="17" t="s">
        <v>366</v>
      </c>
      <c r="M12" s="17" t="s">
        <v>367</v>
      </c>
      <c r="N12" s="17" t="s">
        <v>368</v>
      </c>
      <c r="O12" s="17" t="s">
        <v>76</v>
      </c>
      <c r="P12" s="17" t="s">
        <v>369</v>
      </c>
      <c r="Q12" s="17" t="s">
        <v>370</v>
      </c>
      <c r="R12" s="16" t="s">
        <v>103</v>
      </c>
      <c r="S12" s="19" t="s">
        <v>371</v>
      </c>
      <c r="T12" s="19" t="s">
        <v>372</v>
      </c>
      <c r="U12" s="19" t="s">
        <v>67</v>
      </c>
    </row>
    <row r="13" customFormat="false" ht="96" hidden="false" customHeight="true" outlineLevel="0" collapsed="false">
      <c r="A13" s="16" t="n">
        <v>9</v>
      </c>
      <c r="B13" s="16" t="s">
        <v>442</v>
      </c>
      <c r="C13" s="17" t="s">
        <v>443</v>
      </c>
      <c r="D13" s="17" t="s">
        <v>444</v>
      </c>
      <c r="E13" s="16" t="n">
        <v>2024</v>
      </c>
      <c r="F13" s="17" t="s">
        <v>445</v>
      </c>
      <c r="G13" s="16" t="s">
        <v>446</v>
      </c>
      <c r="H13" s="18" t="s">
        <v>23</v>
      </c>
      <c r="I13" s="17" t="s">
        <v>23</v>
      </c>
      <c r="J13" s="17" t="s">
        <v>447</v>
      </c>
      <c r="K13" s="17" t="s">
        <v>448</v>
      </c>
      <c r="L13" s="17" t="s">
        <v>449</v>
      </c>
      <c r="M13" s="17" t="s">
        <v>450</v>
      </c>
      <c r="N13" s="17" t="s">
        <v>451</v>
      </c>
      <c r="O13" s="17" t="s">
        <v>76</v>
      </c>
      <c r="P13" s="17" t="s">
        <v>452</v>
      </c>
      <c r="Q13" s="17" t="s">
        <v>453</v>
      </c>
      <c r="R13" s="16" t="s">
        <v>65</v>
      </c>
      <c r="S13" s="16"/>
      <c r="T13" s="19" t="s">
        <v>454</v>
      </c>
      <c r="U13" s="19" t="s">
        <v>67</v>
      </c>
    </row>
    <row r="14" customFormat="false" ht="96" hidden="false" customHeight="true" outlineLevel="0" collapsed="false">
      <c r="A14" s="16" t="n">
        <v>10</v>
      </c>
      <c r="B14" s="16" t="s">
        <v>627</v>
      </c>
      <c r="C14" s="17" t="s">
        <v>628</v>
      </c>
      <c r="D14" s="17" t="s">
        <v>629</v>
      </c>
      <c r="E14" s="16" t="n">
        <v>2024</v>
      </c>
      <c r="F14" s="17" t="s">
        <v>630</v>
      </c>
      <c r="G14" s="16" t="s">
        <v>446</v>
      </c>
      <c r="H14" s="18" t="s">
        <v>23</v>
      </c>
      <c r="I14" s="17" t="s">
        <v>23</v>
      </c>
      <c r="J14" s="17" t="s">
        <v>631</v>
      </c>
      <c r="K14" s="17" t="s">
        <v>632</v>
      </c>
      <c r="L14" s="17" t="s">
        <v>633</v>
      </c>
      <c r="M14" s="17" t="s">
        <v>634</v>
      </c>
      <c r="N14" s="17" t="s">
        <v>635</v>
      </c>
      <c r="O14" s="17" t="s">
        <v>76</v>
      </c>
      <c r="P14" s="17" t="s">
        <v>636</v>
      </c>
      <c r="Q14" s="17" t="s">
        <v>637</v>
      </c>
      <c r="R14" s="16" t="s">
        <v>65</v>
      </c>
      <c r="S14" s="16"/>
      <c r="T14" s="19" t="s">
        <v>638</v>
      </c>
      <c r="U14" s="19" t="s">
        <v>67</v>
      </c>
    </row>
    <row r="15" customFormat="false" ht="96" hidden="false" customHeight="true" outlineLevel="0" collapsed="false">
      <c r="A15" s="16" t="n">
        <v>11</v>
      </c>
      <c r="B15" s="16" t="s">
        <v>639</v>
      </c>
      <c r="C15" s="17" t="s">
        <v>640</v>
      </c>
      <c r="D15" s="17" t="s">
        <v>641</v>
      </c>
      <c r="E15" s="16" t="n">
        <v>2024</v>
      </c>
      <c r="F15" s="17" t="s">
        <v>83</v>
      </c>
      <c r="G15" s="16" t="s">
        <v>84</v>
      </c>
      <c r="H15" s="18" t="s">
        <v>23</v>
      </c>
      <c r="I15" s="17" t="s">
        <v>23</v>
      </c>
      <c r="J15" s="17" t="s">
        <v>642</v>
      </c>
      <c r="K15" s="17" t="s">
        <v>643</v>
      </c>
      <c r="L15" s="17" t="s">
        <v>644</v>
      </c>
      <c r="M15" s="17" t="s">
        <v>645</v>
      </c>
      <c r="N15" s="17" t="s">
        <v>646</v>
      </c>
      <c r="O15" s="17" t="s">
        <v>76</v>
      </c>
      <c r="P15" s="17" t="s">
        <v>647</v>
      </c>
      <c r="Q15" s="17" t="s">
        <v>648</v>
      </c>
      <c r="R15" s="16" t="s">
        <v>65</v>
      </c>
      <c r="S15" s="16"/>
      <c r="T15" s="19" t="s">
        <v>649</v>
      </c>
      <c r="U15" s="19" t="s">
        <v>67</v>
      </c>
    </row>
    <row r="16" customFormat="false" ht="96" hidden="false" customHeight="true" outlineLevel="0" collapsed="false">
      <c r="A16" s="16" t="n">
        <v>12</v>
      </c>
      <c r="B16" s="16" t="s">
        <v>769</v>
      </c>
      <c r="C16" s="17" t="s">
        <v>770</v>
      </c>
      <c r="D16" s="17" t="s">
        <v>771</v>
      </c>
      <c r="E16" s="16" t="n">
        <v>2023</v>
      </c>
      <c r="F16" s="17" t="s">
        <v>772</v>
      </c>
      <c r="G16" s="16" t="s">
        <v>84</v>
      </c>
      <c r="H16" s="18" t="s">
        <v>23</v>
      </c>
      <c r="I16" s="17" t="s">
        <v>23</v>
      </c>
      <c r="J16" s="17" t="s">
        <v>773</v>
      </c>
      <c r="K16" s="17" t="s">
        <v>774</v>
      </c>
      <c r="L16" s="17" t="s">
        <v>775</v>
      </c>
      <c r="M16" s="17" t="s">
        <v>776</v>
      </c>
      <c r="N16" s="17" t="s">
        <v>777</v>
      </c>
      <c r="O16" s="17" t="s">
        <v>76</v>
      </c>
      <c r="P16" s="17" t="s">
        <v>778</v>
      </c>
      <c r="Q16" s="17" t="s">
        <v>779</v>
      </c>
      <c r="R16" s="16" t="s">
        <v>65</v>
      </c>
      <c r="S16" s="16"/>
      <c r="T16" s="19" t="s">
        <v>780</v>
      </c>
      <c r="U16" s="19" t="s">
        <v>67</v>
      </c>
    </row>
    <row r="17" customFormat="false" ht="96" hidden="false" customHeight="true" outlineLevel="0" collapsed="false">
      <c r="A17" s="16" t="n">
        <v>13</v>
      </c>
      <c r="B17" s="16" t="s">
        <v>858</v>
      </c>
      <c r="C17" s="17" t="s">
        <v>859</v>
      </c>
      <c r="D17" s="17" t="s">
        <v>795</v>
      </c>
      <c r="E17" s="16" t="n">
        <v>2023</v>
      </c>
      <c r="F17" s="17" t="s">
        <v>237</v>
      </c>
      <c r="G17" s="16" t="s">
        <v>199</v>
      </c>
      <c r="H17" s="18" t="s">
        <v>23</v>
      </c>
      <c r="I17" s="17" t="s">
        <v>23</v>
      </c>
      <c r="J17" s="17" t="s">
        <v>860</v>
      </c>
      <c r="K17" s="17" t="s">
        <v>861</v>
      </c>
      <c r="L17" s="17" t="s">
        <v>862</v>
      </c>
      <c r="M17" s="17" t="s">
        <v>863</v>
      </c>
      <c r="N17" s="17" t="s">
        <v>864</v>
      </c>
      <c r="O17" s="17" t="s">
        <v>865</v>
      </c>
      <c r="P17" s="17" t="s">
        <v>866</v>
      </c>
      <c r="Q17" s="17" t="s">
        <v>867</v>
      </c>
      <c r="R17" s="16" t="s">
        <v>103</v>
      </c>
      <c r="S17" s="19" t="s">
        <v>805</v>
      </c>
      <c r="T17" s="19" t="s">
        <v>868</v>
      </c>
      <c r="U17" s="19" t="s">
        <v>67</v>
      </c>
    </row>
    <row r="18" customFormat="false" ht="96" hidden="false" customHeight="true" outlineLevel="0" collapsed="false">
      <c r="A18" s="16" t="n">
        <v>14</v>
      </c>
      <c r="B18" s="16" t="s">
        <v>905</v>
      </c>
      <c r="C18" s="17" t="s">
        <v>906</v>
      </c>
      <c r="D18" s="17" t="s">
        <v>771</v>
      </c>
      <c r="E18" s="16" t="n">
        <v>2023</v>
      </c>
      <c r="F18" s="17" t="s">
        <v>907</v>
      </c>
      <c r="G18" s="16" t="s">
        <v>148</v>
      </c>
      <c r="H18" s="18" t="s">
        <v>23</v>
      </c>
      <c r="I18" s="17" t="s">
        <v>23</v>
      </c>
      <c r="J18" s="17" t="s">
        <v>642</v>
      </c>
      <c r="K18" s="17" t="s">
        <v>908</v>
      </c>
      <c r="L18" s="17" t="s">
        <v>909</v>
      </c>
      <c r="M18" s="17" t="s">
        <v>910</v>
      </c>
      <c r="N18" s="17" t="s">
        <v>777</v>
      </c>
      <c r="O18" s="17" t="s">
        <v>76</v>
      </c>
      <c r="P18" s="17" t="s">
        <v>911</v>
      </c>
      <c r="Q18" s="17" t="s">
        <v>912</v>
      </c>
      <c r="R18" s="16" t="s">
        <v>65</v>
      </c>
      <c r="S18" s="16"/>
      <c r="T18" s="19" t="s">
        <v>913</v>
      </c>
      <c r="U18" s="19" t="s">
        <v>67</v>
      </c>
    </row>
    <row r="19" customFormat="false" ht="96" hidden="false" customHeight="true" outlineLevel="0" collapsed="false">
      <c r="A19" s="16" t="n">
        <v>15</v>
      </c>
      <c r="B19" s="16" t="s">
        <v>937</v>
      </c>
      <c r="C19" s="17" t="s">
        <v>938</v>
      </c>
      <c r="D19" s="17" t="s">
        <v>939</v>
      </c>
      <c r="E19" s="16" t="n">
        <v>2023</v>
      </c>
      <c r="F19" s="17" t="s">
        <v>907</v>
      </c>
      <c r="G19" s="16" t="s">
        <v>148</v>
      </c>
      <c r="H19" s="18" t="s">
        <v>23</v>
      </c>
      <c r="I19" s="17" t="s">
        <v>23</v>
      </c>
      <c r="J19" s="17" t="s">
        <v>940</v>
      </c>
      <c r="K19" s="17" t="s">
        <v>941</v>
      </c>
      <c r="L19" s="17" t="s">
        <v>942</v>
      </c>
      <c r="M19" s="17" t="s">
        <v>943</v>
      </c>
      <c r="N19" s="17" t="s">
        <v>944</v>
      </c>
      <c r="O19" s="17" t="s">
        <v>76</v>
      </c>
      <c r="P19" s="17" t="s">
        <v>945</v>
      </c>
      <c r="Q19" s="17" t="s">
        <v>946</v>
      </c>
      <c r="R19" s="16" t="s">
        <v>65</v>
      </c>
      <c r="S19" s="16"/>
      <c r="T19" s="19" t="s">
        <v>947</v>
      </c>
      <c r="U19" s="19" t="s">
        <v>67</v>
      </c>
    </row>
    <row r="20" customFormat="false" ht="96" hidden="false" customHeight="true" outlineLevel="0" collapsed="false">
      <c r="A20" s="16" t="n">
        <v>16</v>
      </c>
      <c r="B20" s="16" t="s">
        <v>948</v>
      </c>
      <c r="C20" s="17" t="s">
        <v>949</v>
      </c>
      <c r="D20" s="17" t="s">
        <v>950</v>
      </c>
      <c r="E20" s="16" t="n">
        <v>2023</v>
      </c>
      <c r="F20" s="17" t="s">
        <v>675</v>
      </c>
      <c r="G20" s="16" t="s">
        <v>148</v>
      </c>
      <c r="H20" s="18" t="s">
        <v>23</v>
      </c>
      <c r="I20" s="17" t="s">
        <v>23</v>
      </c>
      <c r="J20" s="17" t="s">
        <v>631</v>
      </c>
      <c r="K20" s="17" t="s">
        <v>951</v>
      </c>
      <c r="L20" s="17" t="s">
        <v>952</v>
      </c>
      <c r="M20" s="17" t="s">
        <v>953</v>
      </c>
      <c r="N20" s="17" t="s">
        <v>954</v>
      </c>
      <c r="O20" s="17" t="s">
        <v>76</v>
      </c>
      <c r="P20" s="17" t="s">
        <v>955</v>
      </c>
      <c r="Q20" s="17" t="s">
        <v>956</v>
      </c>
      <c r="R20" s="16" t="s">
        <v>103</v>
      </c>
      <c r="S20" s="19" t="s">
        <v>957</v>
      </c>
      <c r="T20" s="19" t="s">
        <v>958</v>
      </c>
      <c r="U20" s="19" t="s">
        <v>67</v>
      </c>
    </row>
    <row r="21" customFormat="false" ht="96" hidden="false" customHeight="true" outlineLevel="0" collapsed="false">
      <c r="A21" s="16" t="n">
        <v>17</v>
      </c>
      <c r="B21" s="16" t="s">
        <v>1160</v>
      </c>
      <c r="C21" s="17" t="s">
        <v>1161</v>
      </c>
      <c r="D21" s="17" t="s">
        <v>1162</v>
      </c>
      <c r="E21" s="16" t="n">
        <v>2022</v>
      </c>
      <c r="F21" s="17" t="s">
        <v>1163</v>
      </c>
      <c r="G21" s="16" t="s">
        <v>1164</v>
      </c>
      <c r="H21" s="18" t="s">
        <v>23</v>
      </c>
      <c r="I21" s="17" t="s">
        <v>23</v>
      </c>
      <c r="J21" s="17" t="s">
        <v>114</v>
      </c>
      <c r="K21" s="17" t="s">
        <v>1165</v>
      </c>
      <c r="L21" s="17" t="s">
        <v>1166</v>
      </c>
      <c r="M21" s="17" t="s">
        <v>1167</v>
      </c>
      <c r="N21" s="17" t="s">
        <v>1168</v>
      </c>
      <c r="O21" s="17" t="s">
        <v>76</v>
      </c>
      <c r="P21" s="17" t="s">
        <v>1169</v>
      </c>
      <c r="Q21" s="17" t="s">
        <v>1170</v>
      </c>
      <c r="R21" s="16" t="s">
        <v>65</v>
      </c>
      <c r="S21" s="16"/>
      <c r="T21" s="19" t="s">
        <v>1171</v>
      </c>
      <c r="U21" s="19" t="s">
        <v>67</v>
      </c>
    </row>
    <row r="22" customFormat="false" ht="96" hidden="false" customHeight="true" outlineLevel="0" collapsed="false">
      <c r="A22" s="16" t="n">
        <v>18</v>
      </c>
      <c r="B22" s="16" t="s">
        <v>1193</v>
      </c>
      <c r="C22" s="17" t="s">
        <v>1194</v>
      </c>
      <c r="D22" s="17" t="s">
        <v>1195</v>
      </c>
      <c r="E22" s="16" t="n">
        <v>2022</v>
      </c>
      <c r="F22" s="17" t="s">
        <v>327</v>
      </c>
      <c r="G22" s="16" t="s">
        <v>148</v>
      </c>
      <c r="H22" s="18" t="s">
        <v>23</v>
      </c>
      <c r="I22" s="17" t="s">
        <v>23</v>
      </c>
      <c r="J22" s="17" t="s">
        <v>1196</v>
      </c>
      <c r="K22" s="17" t="s">
        <v>1197</v>
      </c>
      <c r="L22" s="17" t="s">
        <v>1198</v>
      </c>
      <c r="M22" s="17" t="s">
        <v>1199</v>
      </c>
      <c r="N22" s="17" t="s">
        <v>1200</v>
      </c>
      <c r="O22" s="17" t="s">
        <v>76</v>
      </c>
      <c r="P22" s="17" t="s">
        <v>1201</v>
      </c>
      <c r="Q22" s="17" t="s">
        <v>1202</v>
      </c>
      <c r="R22" s="16" t="s">
        <v>103</v>
      </c>
      <c r="S22" s="19" t="s">
        <v>1203</v>
      </c>
      <c r="T22" s="19" t="s">
        <v>1204</v>
      </c>
      <c r="U22" s="19" t="s">
        <v>67</v>
      </c>
    </row>
    <row r="23" customFormat="false" ht="96" hidden="false" customHeight="true" outlineLevel="0" collapsed="false">
      <c r="A23" s="16" t="n">
        <v>19</v>
      </c>
      <c r="B23" s="16" t="s">
        <v>1525</v>
      </c>
      <c r="C23" s="17" t="s">
        <v>1526</v>
      </c>
      <c r="D23" s="17" t="s">
        <v>1527</v>
      </c>
      <c r="E23" s="16" t="n">
        <v>2021</v>
      </c>
      <c r="F23" s="17" t="s">
        <v>557</v>
      </c>
      <c r="G23" s="16" t="s">
        <v>446</v>
      </c>
      <c r="H23" s="18" t="s">
        <v>23</v>
      </c>
      <c r="I23" s="17" t="s">
        <v>23</v>
      </c>
      <c r="J23" s="17" t="s">
        <v>1528</v>
      </c>
      <c r="K23" s="17" t="s">
        <v>1529</v>
      </c>
      <c r="L23" s="17" t="s">
        <v>1530</v>
      </c>
      <c r="M23" s="17" t="s">
        <v>1531</v>
      </c>
      <c r="N23" s="17" t="s">
        <v>1532</v>
      </c>
      <c r="O23" s="17" t="s">
        <v>76</v>
      </c>
      <c r="P23" s="17" t="s">
        <v>1533</v>
      </c>
      <c r="Q23" s="17" t="s">
        <v>1534</v>
      </c>
      <c r="R23" s="16" t="s">
        <v>65</v>
      </c>
      <c r="S23" s="16"/>
      <c r="T23" s="19" t="s">
        <v>1535</v>
      </c>
      <c r="U23" s="19" t="s">
        <v>67</v>
      </c>
    </row>
    <row r="24" customFormat="false" ht="96" hidden="false" customHeight="true" outlineLevel="0" collapsed="false">
      <c r="A24" s="16" t="n">
        <v>20</v>
      </c>
      <c r="B24" s="16" t="s">
        <v>1607</v>
      </c>
      <c r="C24" s="17" t="s">
        <v>1608</v>
      </c>
      <c r="D24" s="17" t="s">
        <v>1609</v>
      </c>
      <c r="E24" s="16" t="n">
        <v>2021</v>
      </c>
      <c r="F24" s="17" t="s">
        <v>1610</v>
      </c>
      <c r="G24" s="16" t="s">
        <v>446</v>
      </c>
      <c r="H24" s="18" t="s">
        <v>23</v>
      </c>
      <c r="I24" s="17" t="s">
        <v>23</v>
      </c>
      <c r="J24" s="17" t="s">
        <v>1611</v>
      </c>
      <c r="K24" s="17" t="s">
        <v>1612</v>
      </c>
      <c r="L24" s="17" t="s">
        <v>1613</v>
      </c>
      <c r="M24" s="17" t="s">
        <v>1614</v>
      </c>
      <c r="N24" s="17" t="s">
        <v>1615</v>
      </c>
      <c r="O24" s="17" t="s">
        <v>76</v>
      </c>
      <c r="P24" s="17" t="s">
        <v>1616</v>
      </c>
      <c r="Q24" s="17" t="s">
        <v>1617</v>
      </c>
      <c r="R24" s="16" t="s">
        <v>65</v>
      </c>
      <c r="S24" s="16"/>
      <c r="T24" s="19" t="s">
        <v>1618</v>
      </c>
      <c r="U24" s="19" t="s">
        <v>67</v>
      </c>
    </row>
    <row r="25" customFormat="false" ht="96" hidden="false" customHeight="true" outlineLevel="0" collapsed="false">
      <c r="A25" s="16" t="n">
        <v>21</v>
      </c>
      <c r="B25" s="16" t="s">
        <v>1917</v>
      </c>
      <c r="C25" s="17" t="s">
        <v>1918</v>
      </c>
      <c r="D25" s="17" t="s">
        <v>1919</v>
      </c>
      <c r="E25" s="16" t="n">
        <v>2020</v>
      </c>
      <c r="F25" s="17" t="s">
        <v>209</v>
      </c>
      <c r="G25" s="16" t="s">
        <v>199</v>
      </c>
      <c r="H25" s="18" t="s">
        <v>23</v>
      </c>
      <c r="I25" s="17" t="s">
        <v>23</v>
      </c>
      <c r="J25" s="17" t="s">
        <v>1920</v>
      </c>
      <c r="K25" s="17" t="s">
        <v>1921</v>
      </c>
      <c r="L25" s="17" t="s">
        <v>1922</v>
      </c>
      <c r="M25" s="17" t="s">
        <v>1923</v>
      </c>
      <c r="N25" s="17" t="s">
        <v>1924</v>
      </c>
      <c r="O25" s="17" t="s">
        <v>76</v>
      </c>
      <c r="P25" s="17" t="s">
        <v>1925</v>
      </c>
      <c r="Q25" s="17" t="s">
        <v>1926</v>
      </c>
      <c r="R25" s="16" t="s">
        <v>65</v>
      </c>
      <c r="S25" s="16"/>
      <c r="T25" s="19" t="s">
        <v>1927</v>
      </c>
      <c r="U25" s="19" t="s">
        <v>67</v>
      </c>
    </row>
    <row r="26" customFormat="false" ht="96" hidden="false" customHeight="true" outlineLevel="0" collapsed="false">
      <c r="A26" s="16" t="n">
        <v>22</v>
      </c>
      <c r="B26" s="16" t="s">
        <v>2023</v>
      </c>
      <c r="C26" s="17" t="s">
        <v>2024</v>
      </c>
      <c r="D26" s="17" t="s">
        <v>2025</v>
      </c>
      <c r="E26" s="16" t="n">
        <v>2019</v>
      </c>
      <c r="F26" s="17" t="s">
        <v>772</v>
      </c>
      <c r="G26" s="16" t="s">
        <v>84</v>
      </c>
      <c r="H26" s="18" t="s">
        <v>23</v>
      </c>
      <c r="I26" s="17" t="s">
        <v>23</v>
      </c>
      <c r="J26" s="17" t="s">
        <v>2026</v>
      </c>
      <c r="K26" s="17" t="s">
        <v>2027</v>
      </c>
      <c r="L26" s="17" t="s">
        <v>2028</v>
      </c>
      <c r="M26" s="17" t="s">
        <v>2029</v>
      </c>
      <c r="N26" s="17" t="s">
        <v>2030</v>
      </c>
      <c r="O26" s="17" t="s">
        <v>76</v>
      </c>
      <c r="P26" s="17" t="s">
        <v>2031</v>
      </c>
      <c r="Q26" s="17" t="s">
        <v>2032</v>
      </c>
      <c r="R26" s="16" t="s">
        <v>65</v>
      </c>
      <c r="S26" s="16"/>
      <c r="T26" s="19" t="s">
        <v>2033</v>
      </c>
      <c r="U26" s="19" t="s">
        <v>67</v>
      </c>
    </row>
    <row r="27" customFormat="false" ht="96" hidden="false" customHeight="true" outlineLevel="0" collapsed="false">
      <c r="A27" s="16" t="n">
        <v>23</v>
      </c>
      <c r="B27" s="16" t="s">
        <v>2325</v>
      </c>
      <c r="C27" s="17" t="s">
        <v>2326</v>
      </c>
      <c r="D27" s="17" t="s">
        <v>2327</v>
      </c>
      <c r="E27" s="16" t="n">
        <v>2016</v>
      </c>
      <c r="F27" s="17" t="s">
        <v>71</v>
      </c>
      <c r="G27" s="16" t="s">
        <v>56</v>
      </c>
      <c r="H27" s="18" t="s">
        <v>23</v>
      </c>
      <c r="I27" s="17" t="s">
        <v>23</v>
      </c>
      <c r="J27" s="17" t="s">
        <v>2328</v>
      </c>
      <c r="K27" s="17" t="s">
        <v>2329</v>
      </c>
      <c r="L27" s="17" t="s">
        <v>2330</v>
      </c>
      <c r="M27" s="17" t="s">
        <v>2331</v>
      </c>
      <c r="N27" s="17" t="s">
        <v>2332</v>
      </c>
      <c r="O27" s="17" t="s">
        <v>76</v>
      </c>
      <c r="P27" s="17" t="s">
        <v>2333</v>
      </c>
      <c r="Q27" s="17" t="s">
        <v>2334</v>
      </c>
      <c r="R27" s="16" t="s">
        <v>65</v>
      </c>
      <c r="S27" s="16"/>
      <c r="T27" s="19" t="s">
        <v>2335</v>
      </c>
      <c r="U27" s="19" t="s">
        <v>67</v>
      </c>
    </row>
    <row r="28" customFormat="false" ht="96" hidden="false" customHeight="true" outlineLevel="0" collapsed="false">
      <c r="A28" s="16" t="n">
        <v>24</v>
      </c>
      <c r="B28" s="16" t="s">
        <v>2336</v>
      </c>
      <c r="C28" s="17" t="s">
        <v>2337</v>
      </c>
      <c r="D28" s="17" t="s">
        <v>2338</v>
      </c>
      <c r="E28" s="16" t="n">
        <v>2016</v>
      </c>
      <c r="F28" s="17" t="s">
        <v>350</v>
      </c>
      <c r="G28" s="16" t="s">
        <v>199</v>
      </c>
      <c r="H28" s="18" t="s">
        <v>23</v>
      </c>
      <c r="I28" s="17" t="s">
        <v>23</v>
      </c>
      <c r="J28" s="17" t="s">
        <v>2223</v>
      </c>
      <c r="K28" s="17" t="s">
        <v>2339</v>
      </c>
      <c r="L28" s="17" t="s">
        <v>2340</v>
      </c>
      <c r="M28" s="17" t="s">
        <v>2341</v>
      </c>
      <c r="N28" s="17" t="s">
        <v>2342</v>
      </c>
      <c r="O28" s="17" t="s">
        <v>76</v>
      </c>
      <c r="P28" s="17" t="s">
        <v>2343</v>
      </c>
      <c r="Q28" s="17" t="s">
        <v>2344</v>
      </c>
      <c r="R28" s="16" t="s">
        <v>65</v>
      </c>
      <c r="S28" s="16"/>
      <c r="T28" s="19" t="s">
        <v>2345</v>
      </c>
      <c r="U28" s="19" t="s">
        <v>67</v>
      </c>
    </row>
    <row r="29" customFormat="false" ht="96" hidden="false" customHeight="true" outlineLevel="0" collapsed="false">
      <c r="A29" s="16" t="n">
        <v>25</v>
      </c>
      <c r="B29" s="16" t="s">
        <v>2346</v>
      </c>
      <c r="C29" s="17" t="s">
        <v>2347</v>
      </c>
      <c r="D29" s="17" t="s">
        <v>2348</v>
      </c>
      <c r="E29" s="16" t="n">
        <v>2016</v>
      </c>
      <c r="F29" s="17" t="s">
        <v>71</v>
      </c>
      <c r="G29" s="16" t="s">
        <v>56</v>
      </c>
      <c r="H29" s="18" t="s">
        <v>23</v>
      </c>
      <c r="I29" s="17" t="s">
        <v>23</v>
      </c>
      <c r="J29" s="17" t="s">
        <v>2349</v>
      </c>
      <c r="K29" s="17" t="s">
        <v>2350</v>
      </c>
      <c r="L29" s="17" t="s">
        <v>2351</v>
      </c>
      <c r="M29" s="17" t="s">
        <v>2352</v>
      </c>
      <c r="N29" s="17" t="s">
        <v>2353</v>
      </c>
      <c r="O29" s="17" t="s">
        <v>76</v>
      </c>
      <c r="P29" s="17" t="s">
        <v>2354</v>
      </c>
      <c r="Q29" s="17" t="s">
        <v>2355</v>
      </c>
      <c r="R29" s="16" t="s">
        <v>65</v>
      </c>
      <c r="S29" s="16"/>
      <c r="T29" s="19" t="s">
        <v>2356</v>
      </c>
      <c r="U29" s="19" t="s">
        <v>67</v>
      </c>
    </row>
  </sheetData>
  <autoFilter ref="A4:U29"/>
  <hyperlinks>
    <hyperlink ref="T5" r:id="rId1" display="https://arxiv.org/abs/2605.03857"/>
    <hyperlink ref="U5" r:id="rId2" display="Search"/>
    <hyperlink ref="T6" r:id="rId3" display="https://arxiv.org/abs/2504.18015"/>
    <hyperlink ref="U6" r:id="rId4" display="Search"/>
    <hyperlink ref="T7" r:id="rId5" display="https://arxiv.org/abs/2602.02914"/>
    <hyperlink ref="U7" r:id="rId6" display="Search"/>
    <hyperlink ref="S8" r:id="rId7" display="https://github.com/ethz-spylab/robust-style-mimicry"/>
    <hyperlink ref="T8" r:id="rId8" display="https://arxiv.org/abs/2406.12027"/>
    <hyperlink ref="U8" r:id="rId9" display="Search"/>
    <hyperlink ref="T9" r:id="rId10" display="https://arxiv.org/abs/2505.20985"/>
    <hyperlink ref="U9" r:id="rId11" display="Search"/>
    <hyperlink ref="T10" r:id="rId12" display="https://arxiv.org/abs/2411.03960"/>
    <hyperlink ref="U10" r:id="rId13" display="Search"/>
    <hyperlink ref="T11" r:id="rId14" display="https://arxiv.org/abs/2506.09777"/>
    <hyperlink ref="U11" r:id="rId15" display="Search"/>
    <hyperlink ref="S12" r:id="rId16" display="https://github.com/ZhengyueZhao/GrIDPure"/>
    <hyperlink ref="T12" r:id="rId17" display="https://arxiv.org/abs/2312.00084"/>
    <hyperlink ref="U12" r:id="rId18" display="Search"/>
    <hyperlink ref="T13" r:id="rId19" display="https://arxiv.org/abs/2210.10651"/>
    <hyperlink ref="U13" r:id="rId20" display="Search"/>
    <hyperlink ref="T14" r:id="rId21" display="https://arxiv.org/abs/2303.08500"/>
    <hyperlink ref="U14" r:id="rId22" display="Search"/>
    <hyperlink ref="T15" r:id="rId23" display="https://doi.org/10.1109/TIFS.2024.3381820"/>
    <hyperlink ref="U15" r:id="rId24" display="Search"/>
    <hyperlink ref="T16" r:id="rId25" display="https://doi.org/10.1109/TPAMI.2023.3312123"/>
    <hyperlink ref="U16" r:id="rId26" display="Search"/>
    <hyperlink ref="S17" r:id="rId27" display="https://github.com/hukkelas/deep_privacy2"/>
    <hyperlink ref="T17" r:id="rId28" display="https://arxiv.org/abs/2306.05135"/>
    <hyperlink ref="U17" r:id="rId29" display="Search"/>
    <hyperlink ref="T18" r:id="rId30" display="https://proceedings.neurips.cc/paper_files/paper/2023/hash/29e4b51d45dc8f534260adc45b587363-Abstract-Conference.html"/>
    <hyperlink ref="U18" r:id="rId31" display="Search"/>
    <hyperlink ref="T19" r:id="rId32" display="https://arxiv.org/abs/2310.19248"/>
    <hyperlink ref="U19" r:id="rId33" display="Search"/>
    <hyperlink ref="S20" r:id="rId34" display="https://github.com/liuzrcc/ImageShortcutSqueezing"/>
    <hyperlink ref="T20" r:id="rId35" display="https://arxiv.org/abs/2301.13838"/>
    <hyperlink ref="U20" r:id="rId36" display="Search"/>
    <hyperlink ref="T21" r:id="rId37" display="https://arxiv.org/abs/2111.12405"/>
    <hyperlink ref="U21" r:id="rId38" display="Search"/>
    <hyperlink ref="S22" r:id="rId39" display="https://github.com/ftramer/FaceCure"/>
    <hyperlink ref="T22" r:id="rId40" display="https://arxiv.org/abs/2106.14851"/>
    <hyperlink ref="U22" r:id="rId41" display="Search"/>
    <hyperlink ref="T23" r:id="rId42" display="https://arxiv.org/abs/2011.05315"/>
    <hyperlink ref="U23" r:id="rId43" display="Search"/>
    <hyperlink ref="T24" r:id="rId44" display="https://arxiv.org/abs/2102.11502"/>
    <hyperlink ref="U24" r:id="rId45" display="Search"/>
    <hyperlink ref="T25" r:id="rId46" display="https://arxiv.org/abs/2003.06958"/>
    <hyperlink ref="U25" r:id="rId47" display="Search"/>
    <hyperlink ref="T26" r:id="rId48" display="https://arxiv.org/abs/1703.00832"/>
    <hyperlink ref="U26" r:id="rId49" display="Search"/>
    <hyperlink ref="T27" r:id="rId50" display="https://arxiv.org/abs/1609.00408"/>
    <hyperlink ref="U27" r:id="rId51" display="Search"/>
    <hyperlink ref="T28" r:id="rId52" display="https://arxiv.org/abs/1607.08438"/>
    <hyperlink ref="U28" r:id="rId53" display="Search"/>
    <hyperlink ref="T29" r:id="rId54" display="https://arxiv.org/abs/1606.04189"/>
    <hyperlink ref="U29" r:id="rId55"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6"/>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19</v>
      </c>
    </row>
    <row r="2" customFormat="false" ht="15" hidden="false" customHeight="false" outlineLevel="0" collapsed="false">
      <c r="A2" s="14" t="s">
        <v>2717</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324</v>
      </c>
      <c r="C5" s="17" t="s">
        <v>325</v>
      </c>
      <c r="D5" s="17" t="s">
        <v>326</v>
      </c>
      <c r="E5" s="16" t="n">
        <v>2025</v>
      </c>
      <c r="F5" s="17" t="s">
        <v>327</v>
      </c>
      <c r="G5" s="16" t="s">
        <v>148</v>
      </c>
      <c r="H5" s="23" t="s">
        <v>19</v>
      </c>
      <c r="I5" s="17" t="s">
        <v>328</v>
      </c>
      <c r="J5" s="17" t="s">
        <v>329</v>
      </c>
      <c r="K5" s="17" t="s">
        <v>330</v>
      </c>
      <c r="L5" s="17" t="s">
        <v>331</v>
      </c>
      <c r="M5" s="17" t="s">
        <v>332</v>
      </c>
      <c r="N5" s="17" t="s">
        <v>333</v>
      </c>
      <c r="O5" s="17" t="s">
        <v>334</v>
      </c>
      <c r="P5" s="17" t="s">
        <v>335</v>
      </c>
      <c r="Q5" s="17" t="s">
        <v>336</v>
      </c>
      <c r="R5" s="16" t="s">
        <v>103</v>
      </c>
      <c r="S5" s="19" t="s">
        <v>337</v>
      </c>
      <c r="T5" s="19" t="s">
        <v>338</v>
      </c>
      <c r="U5" s="19" t="s">
        <v>67</v>
      </c>
    </row>
    <row r="6" customFormat="false" ht="96" hidden="false" customHeight="true" outlineLevel="0" collapsed="false">
      <c r="A6" s="16" t="n">
        <v>2</v>
      </c>
      <c r="B6" s="16" t="s">
        <v>347</v>
      </c>
      <c r="C6" s="17" t="s">
        <v>348</v>
      </c>
      <c r="D6" s="17" t="s">
        <v>349</v>
      </c>
      <c r="E6" s="16" t="n">
        <v>2024</v>
      </c>
      <c r="F6" s="17" t="s">
        <v>350</v>
      </c>
      <c r="G6" s="16" t="s">
        <v>199</v>
      </c>
      <c r="H6" s="23" t="s">
        <v>19</v>
      </c>
      <c r="I6" s="17" t="s">
        <v>328</v>
      </c>
      <c r="J6" s="17" t="s">
        <v>351</v>
      </c>
      <c r="K6" s="17" t="s">
        <v>352</v>
      </c>
      <c r="L6" s="17" t="s">
        <v>353</v>
      </c>
      <c r="M6" s="17" t="s">
        <v>354</v>
      </c>
      <c r="N6" s="17" t="s">
        <v>355</v>
      </c>
      <c r="O6" s="17" t="s">
        <v>356</v>
      </c>
      <c r="P6" s="17" t="s">
        <v>357</v>
      </c>
      <c r="Q6" s="17" t="s">
        <v>358</v>
      </c>
      <c r="R6" s="16" t="s">
        <v>103</v>
      </c>
      <c r="S6" s="19" t="s">
        <v>359</v>
      </c>
      <c r="T6" s="19" t="s">
        <v>360</v>
      </c>
      <c r="U6" s="19" t="s">
        <v>67</v>
      </c>
    </row>
    <row r="7" customFormat="false" ht="96" hidden="false" customHeight="true" outlineLevel="0" collapsed="false">
      <c r="A7" s="16" t="n">
        <v>3</v>
      </c>
      <c r="B7" s="16" t="s">
        <v>408</v>
      </c>
      <c r="C7" s="17" t="s">
        <v>409</v>
      </c>
      <c r="D7" s="17" t="s">
        <v>410</v>
      </c>
      <c r="E7" s="16" t="n">
        <v>2024</v>
      </c>
      <c r="F7" s="17" t="s">
        <v>411</v>
      </c>
      <c r="G7" s="16" t="s">
        <v>199</v>
      </c>
      <c r="H7" s="23" t="s">
        <v>19</v>
      </c>
      <c r="I7" s="17" t="s">
        <v>328</v>
      </c>
      <c r="J7" s="17" t="s">
        <v>412</v>
      </c>
      <c r="K7" s="17" t="s">
        <v>413</v>
      </c>
      <c r="L7" s="17" t="s">
        <v>414</v>
      </c>
      <c r="M7" s="17" t="s">
        <v>415</v>
      </c>
      <c r="N7" s="17" t="s">
        <v>416</v>
      </c>
      <c r="O7" s="17" t="s">
        <v>334</v>
      </c>
      <c r="P7" s="17" t="s">
        <v>417</v>
      </c>
      <c r="Q7" s="17" t="s">
        <v>418</v>
      </c>
      <c r="R7" s="16" t="s">
        <v>65</v>
      </c>
      <c r="S7" s="16"/>
      <c r="T7" s="19" t="s">
        <v>419</v>
      </c>
      <c r="U7" s="19" t="s">
        <v>67</v>
      </c>
    </row>
    <row r="8" customFormat="false" ht="96" hidden="false" customHeight="true" outlineLevel="0" collapsed="false">
      <c r="A8" s="16" t="n">
        <v>4</v>
      </c>
      <c r="B8" s="16" t="s">
        <v>781</v>
      </c>
      <c r="C8" s="17" t="s">
        <v>782</v>
      </c>
      <c r="D8" s="17" t="s">
        <v>783</v>
      </c>
      <c r="E8" s="16" t="n">
        <v>2023</v>
      </c>
      <c r="F8" s="17" t="s">
        <v>209</v>
      </c>
      <c r="G8" s="16" t="s">
        <v>199</v>
      </c>
      <c r="H8" s="23" t="s">
        <v>19</v>
      </c>
      <c r="I8" s="17" t="s">
        <v>328</v>
      </c>
      <c r="J8" s="17" t="s">
        <v>784</v>
      </c>
      <c r="K8" s="17" t="s">
        <v>785</v>
      </c>
      <c r="L8" s="17" t="s">
        <v>786</v>
      </c>
      <c r="M8" s="17" t="s">
        <v>787</v>
      </c>
      <c r="N8" s="17" t="s">
        <v>788</v>
      </c>
      <c r="O8" s="17" t="s">
        <v>334</v>
      </c>
      <c r="P8" s="17" t="s">
        <v>789</v>
      </c>
      <c r="Q8" s="17" t="s">
        <v>790</v>
      </c>
      <c r="R8" s="16" t="s">
        <v>103</v>
      </c>
      <c r="S8" s="19" t="s">
        <v>791</v>
      </c>
      <c r="T8" s="19" t="s">
        <v>792</v>
      </c>
      <c r="U8" s="19" t="s">
        <v>67</v>
      </c>
    </row>
    <row r="9" customFormat="false" ht="96" hidden="false" customHeight="true" outlineLevel="0" collapsed="false">
      <c r="A9" s="16" t="n">
        <v>5</v>
      </c>
      <c r="B9" s="16" t="s">
        <v>834</v>
      </c>
      <c r="C9" s="17" t="s">
        <v>835</v>
      </c>
      <c r="D9" s="17" t="s">
        <v>836</v>
      </c>
      <c r="E9" s="16" t="n">
        <v>2023</v>
      </c>
      <c r="F9" s="17" t="s">
        <v>796</v>
      </c>
      <c r="G9" s="16" t="s">
        <v>199</v>
      </c>
      <c r="H9" s="23" t="s">
        <v>19</v>
      </c>
      <c r="I9" s="17" t="s">
        <v>328</v>
      </c>
      <c r="J9" s="17" t="s">
        <v>837</v>
      </c>
      <c r="K9" s="17" t="s">
        <v>838</v>
      </c>
      <c r="L9" s="17" t="s">
        <v>839</v>
      </c>
      <c r="M9" s="17" t="s">
        <v>840</v>
      </c>
      <c r="N9" s="17" t="s">
        <v>841</v>
      </c>
      <c r="O9" s="17" t="s">
        <v>842</v>
      </c>
      <c r="P9" s="17" t="s">
        <v>843</v>
      </c>
      <c r="Q9" s="17" t="s">
        <v>844</v>
      </c>
      <c r="R9" s="16" t="s">
        <v>103</v>
      </c>
      <c r="S9" s="19" t="s">
        <v>845</v>
      </c>
      <c r="T9" s="19" t="s">
        <v>846</v>
      </c>
      <c r="U9" s="19" t="s">
        <v>67</v>
      </c>
    </row>
    <row r="10" customFormat="false" ht="96" hidden="false" customHeight="true" outlineLevel="0" collapsed="false">
      <c r="A10" s="16" t="n">
        <v>6</v>
      </c>
      <c r="B10" s="16" t="s">
        <v>926</v>
      </c>
      <c r="C10" s="17" t="s">
        <v>927</v>
      </c>
      <c r="D10" s="17" t="s">
        <v>928</v>
      </c>
      <c r="E10" s="16" t="n">
        <v>2023</v>
      </c>
      <c r="F10" s="17" t="s">
        <v>661</v>
      </c>
      <c r="G10" s="16" t="s">
        <v>199</v>
      </c>
      <c r="H10" s="23" t="s">
        <v>19</v>
      </c>
      <c r="I10" s="17" t="s">
        <v>328</v>
      </c>
      <c r="J10" s="17" t="s">
        <v>929</v>
      </c>
      <c r="K10" s="17" t="s">
        <v>930</v>
      </c>
      <c r="L10" s="17" t="s">
        <v>931</v>
      </c>
      <c r="M10" s="17" t="s">
        <v>932</v>
      </c>
      <c r="N10" s="17" t="s">
        <v>333</v>
      </c>
      <c r="O10" s="17" t="s">
        <v>334</v>
      </c>
      <c r="P10" s="17" t="s">
        <v>933</v>
      </c>
      <c r="Q10" s="17" t="s">
        <v>934</v>
      </c>
      <c r="R10" s="16" t="s">
        <v>103</v>
      </c>
      <c r="S10" s="19" t="s">
        <v>935</v>
      </c>
      <c r="T10" s="19" t="s">
        <v>936</v>
      </c>
      <c r="U10" s="19" t="s">
        <v>67</v>
      </c>
    </row>
    <row r="11" customFormat="false" ht="96" hidden="false" customHeight="true" outlineLevel="0" collapsed="false">
      <c r="A11" s="16" t="n">
        <v>7</v>
      </c>
      <c r="B11" s="16" t="s">
        <v>1061</v>
      </c>
      <c r="C11" s="17" t="s">
        <v>1062</v>
      </c>
      <c r="D11" s="17" t="s">
        <v>1063</v>
      </c>
      <c r="E11" s="16" t="n">
        <v>2023</v>
      </c>
      <c r="F11" s="17" t="s">
        <v>1064</v>
      </c>
      <c r="G11" s="16" t="s">
        <v>84</v>
      </c>
      <c r="H11" s="23" t="s">
        <v>19</v>
      </c>
      <c r="I11" s="17" t="s">
        <v>328</v>
      </c>
      <c r="J11" s="17" t="s">
        <v>713</v>
      </c>
      <c r="K11" s="17" t="s">
        <v>73</v>
      </c>
      <c r="L11" s="17" t="s">
        <v>1065</v>
      </c>
      <c r="M11" s="17" t="s">
        <v>1066</v>
      </c>
      <c r="N11" s="17" t="s">
        <v>76</v>
      </c>
      <c r="O11" s="17" t="s">
        <v>76</v>
      </c>
      <c r="P11" s="17" t="s">
        <v>1067</v>
      </c>
      <c r="Q11" s="17" t="s">
        <v>1068</v>
      </c>
      <c r="R11" s="16" t="s">
        <v>65</v>
      </c>
      <c r="S11" s="16"/>
      <c r="T11" s="19" t="s">
        <v>1069</v>
      </c>
      <c r="U11" s="19" t="s">
        <v>67</v>
      </c>
    </row>
    <row r="12" customFormat="false" ht="96" hidden="false" customHeight="true" outlineLevel="0" collapsed="false">
      <c r="A12" s="16" t="n">
        <v>8</v>
      </c>
      <c r="B12" s="16" t="s">
        <v>1241</v>
      </c>
      <c r="C12" s="17" t="s">
        <v>1242</v>
      </c>
      <c r="D12" s="17" t="s">
        <v>1243</v>
      </c>
      <c r="E12" s="16" t="n">
        <v>2022</v>
      </c>
      <c r="F12" s="17" t="s">
        <v>388</v>
      </c>
      <c r="G12" s="16" t="s">
        <v>148</v>
      </c>
      <c r="H12" s="23" t="s">
        <v>19</v>
      </c>
      <c r="I12" s="17" t="s">
        <v>328</v>
      </c>
      <c r="J12" s="17" t="s">
        <v>1244</v>
      </c>
      <c r="K12" s="17" t="s">
        <v>1245</v>
      </c>
      <c r="L12" s="17" t="s">
        <v>1246</v>
      </c>
      <c r="M12" s="17" t="s">
        <v>1247</v>
      </c>
      <c r="N12" s="17" t="s">
        <v>1248</v>
      </c>
      <c r="O12" s="17" t="s">
        <v>334</v>
      </c>
      <c r="P12" s="17" t="s">
        <v>1249</v>
      </c>
      <c r="Q12" s="17" t="s">
        <v>1250</v>
      </c>
      <c r="R12" s="16" t="s">
        <v>103</v>
      </c>
      <c r="S12" s="19" t="s">
        <v>1251</v>
      </c>
      <c r="T12" s="19" t="s">
        <v>1252</v>
      </c>
      <c r="U12" s="19" t="s">
        <v>67</v>
      </c>
    </row>
    <row r="13" customFormat="false" ht="96" hidden="false" customHeight="true" outlineLevel="0" collapsed="false">
      <c r="A13" s="16" t="n">
        <v>9</v>
      </c>
      <c r="B13" s="16" t="s">
        <v>1253</v>
      </c>
      <c r="C13" s="17" t="s">
        <v>1254</v>
      </c>
      <c r="D13" s="17" t="s">
        <v>1255</v>
      </c>
      <c r="E13" s="16" t="n">
        <v>2022</v>
      </c>
      <c r="F13" s="17" t="s">
        <v>388</v>
      </c>
      <c r="G13" s="16" t="s">
        <v>148</v>
      </c>
      <c r="H13" s="23" t="s">
        <v>19</v>
      </c>
      <c r="I13" s="17" t="s">
        <v>328</v>
      </c>
      <c r="J13" s="17" t="s">
        <v>1256</v>
      </c>
      <c r="K13" s="17" t="s">
        <v>1245</v>
      </c>
      <c r="L13" s="17" t="s">
        <v>1257</v>
      </c>
      <c r="M13" s="17" t="s">
        <v>1258</v>
      </c>
      <c r="N13" s="17" t="s">
        <v>1248</v>
      </c>
      <c r="O13" s="17" t="s">
        <v>334</v>
      </c>
      <c r="P13" s="17" t="s">
        <v>1259</v>
      </c>
      <c r="Q13" s="17" t="s">
        <v>1260</v>
      </c>
      <c r="R13" s="16" t="s">
        <v>65</v>
      </c>
      <c r="S13" s="16"/>
      <c r="T13" s="19" t="s">
        <v>1261</v>
      </c>
      <c r="U13" s="19" t="s">
        <v>67</v>
      </c>
    </row>
    <row r="14" customFormat="false" ht="96" hidden="false" customHeight="true" outlineLevel="0" collapsed="false">
      <c r="A14" s="16" t="n">
        <v>10</v>
      </c>
      <c r="B14" s="16" t="s">
        <v>1367</v>
      </c>
      <c r="C14" s="17" t="s">
        <v>1368</v>
      </c>
      <c r="D14" s="17" t="s">
        <v>1369</v>
      </c>
      <c r="E14" s="16" t="n">
        <v>2022</v>
      </c>
      <c r="F14" s="17" t="s">
        <v>1277</v>
      </c>
      <c r="G14" s="16" t="s">
        <v>1164</v>
      </c>
      <c r="H14" s="23" t="s">
        <v>19</v>
      </c>
      <c r="I14" s="17" t="s">
        <v>328</v>
      </c>
      <c r="J14" s="17" t="s">
        <v>1370</v>
      </c>
      <c r="K14" s="17" t="s">
        <v>1371</v>
      </c>
      <c r="L14" s="17" t="s">
        <v>1372</v>
      </c>
      <c r="M14" s="17" t="s">
        <v>1373</v>
      </c>
      <c r="N14" s="17" t="s">
        <v>1374</v>
      </c>
      <c r="O14" s="17" t="s">
        <v>334</v>
      </c>
      <c r="P14" s="17" t="s">
        <v>1375</v>
      </c>
      <c r="Q14" s="17" t="s">
        <v>1376</v>
      </c>
      <c r="R14" s="16" t="s">
        <v>103</v>
      </c>
      <c r="S14" s="19" t="s">
        <v>1377</v>
      </c>
      <c r="T14" s="19" t="s">
        <v>1378</v>
      </c>
      <c r="U14" s="19" t="s">
        <v>67</v>
      </c>
    </row>
    <row r="15" customFormat="false" ht="96" hidden="false" customHeight="true" outlineLevel="0" collapsed="false">
      <c r="A15" s="16" t="n">
        <v>11</v>
      </c>
      <c r="B15" s="16" t="s">
        <v>1469</v>
      </c>
      <c r="C15" s="17" t="s">
        <v>1470</v>
      </c>
      <c r="D15" s="17" t="s">
        <v>1471</v>
      </c>
      <c r="E15" s="16" t="n">
        <v>2021</v>
      </c>
      <c r="F15" s="17" t="s">
        <v>1277</v>
      </c>
      <c r="G15" s="16" t="s">
        <v>1164</v>
      </c>
      <c r="H15" s="23" t="s">
        <v>19</v>
      </c>
      <c r="I15" s="17" t="s">
        <v>328</v>
      </c>
      <c r="J15" s="17" t="s">
        <v>1472</v>
      </c>
      <c r="K15" s="17" t="s">
        <v>1473</v>
      </c>
      <c r="L15" s="17" t="s">
        <v>1474</v>
      </c>
      <c r="M15" s="17" t="s">
        <v>1475</v>
      </c>
      <c r="N15" s="17" t="s">
        <v>1476</v>
      </c>
      <c r="O15" s="17" t="s">
        <v>1477</v>
      </c>
      <c r="P15" s="17" t="s">
        <v>1478</v>
      </c>
      <c r="Q15" s="17" t="s">
        <v>1479</v>
      </c>
      <c r="R15" s="16" t="s">
        <v>65</v>
      </c>
      <c r="S15" s="16"/>
      <c r="T15" s="19" t="s">
        <v>1480</v>
      </c>
      <c r="U15" s="19" t="s">
        <v>67</v>
      </c>
    </row>
    <row r="16" customFormat="false" ht="96" hidden="false" customHeight="true" outlineLevel="0" collapsed="false">
      <c r="A16" s="16" t="n">
        <v>12</v>
      </c>
      <c r="B16" s="16" t="s">
        <v>1660</v>
      </c>
      <c r="C16" s="17" t="s">
        <v>1661</v>
      </c>
      <c r="D16" s="17" t="s">
        <v>1662</v>
      </c>
      <c r="E16" s="16" t="n">
        <v>2021</v>
      </c>
      <c r="F16" s="17" t="s">
        <v>661</v>
      </c>
      <c r="G16" s="16" t="s">
        <v>199</v>
      </c>
      <c r="H16" s="23" t="s">
        <v>19</v>
      </c>
      <c r="I16" s="17" t="s">
        <v>328</v>
      </c>
      <c r="J16" s="17" t="s">
        <v>1663</v>
      </c>
      <c r="K16" s="17" t="s">
        <v>1664</v>
      </c>
      <c r="L16" s="17" t="s">
        <v>1665</v>
      </c>
      <c r="M16" s="17" t="s">
        <v>1666</v>
      </c>
      <c r="N16" s="17" t="s">
        <v>1667</v>
      </c>
      <c r="O16" s="17" t="s">
        <v>1668</v>
      </c>
      <c r="P16" s="17" t="s">
        <v>1669</v>
      </c>
      <c r="Q16" s="17" t="s">
        <v>1670</v>
      </c>
      <c r="R16" s="16" t="s">
        <v>103</v>
      </c>
      <c r="S16" s="19" t="s">
        <v>1671</v>
      </c>
      <c r="T16" s="19" t="s">
        <v>1672</v>
      </c>
      <c r="U16" s="19" t="s">
        <v>67</v>
      </c>
    </row>
    <row r="17" customFormat="false" ht="96" hidden="false" customHeight="true" outlineLevel="0" collapsed="false">
      <c r="A17" s="16" t="n">
        <v>13</v>
      </c>
      <c r="B17" s="16" t="s">
        <v>1686</v>
      </c>
      <c r="C17" s="17" t="s">
        <v>1687</v>
      </c>
      <c r="D17" s="17" t="s">
        <v>1688</v>
      </c>
      <c r="E17" s="16" t="n">
        <v>2021</v>
      </c>
      <c r="F17" s="17" t="s">
        <v>1689</v>
      </c>
      <c r="G17" s="16" t="s">
        <v>1164</v>
      </c>
      <c r="H17" s="23" t="s">
        <v>19</v>
      </c>
      <c r="I17" s="17" t="s">
        <v>328</v>
      </c>
      <c r="J17" s="17" t="s">
        <v>1690</v>
      </c>
      <c r="K17" s="17" t="s">
        <v>1691</v>
      </c>
      <c r="L17" s="17" t="s">
        <v>1692</v>
      </c>
      <c r="M17" s="17" t="s">
        <v>1693</v>
      </c>
      <c r="N17" s="17" t="s">
        <v>1694</v>
      </c>
      <c r="O17" s="17" t="s">
        <v>1695</v>
      </c>
      <c r="P17" s="17" t="s">
        <v>1696</v>
      </c>
      <c r="Q17" s="17" t="s">
        <v>1697</v>
      </c>
      <c r="R17" s="16" t="s">
        <v>65</v>
      </c>
      <c r="S17" s="16"/>
      <c r="T17" s="19" t="s">
        <v>1698</v>
      </c>
      <c r="U17" s="19" t="s">
        <v>67</v>
      </c>
    </row>
    <row r="18" customFormat="false" ht="96" hidden="false" customHeight="true" outlineLevel="0" collapsed="false">
      <c r="A18" s="16" t="n">
        <v>14</v>
      </c>
      <c r="B18" s="16" t="s">
        <v>1806</v>
      </c>
      <c r="C18" s="17" t="s">
        <v>1807</v>
      </c>
      <c r="D18" s="17" t="s">
        <v>1808</v>
      </c>
      <c r="E18" s="16" t="n">
        <v>2020</v>
      </c>
      <c r="F18" s="17" t="s">
        <v>675</v>
      </c>
      <c r="G18" s="16" t="s">
        <v>148</v>
      </c>
      <c r="H18" s="23" t="s">
        <v>19</v>
      </c>
      <c r="I18" s="17" t="s">
        <v>328</v>
      </c>
      <c r="J18" s="17" t="s">
        <v>1809</v>
      </c>
      <c r="K18" s="17" t="s">
        <v>724</v>
      </c>
      <c r="L18" s="17" t="s">
        <v>1810</v>
      </c>
      <c r="M18" s="17" t="s">
        <v>1811</v>
      </c>
      <c r="N18" s="17" t="s">
        <v>1812</v>
      </c>
      <c r="O18" s="17" t="s">
        <v>1813</v>
      </c>
      <c r="P18" s="17" t="s">
        <v>1814</v>
      </c>
      <c r="Q18" s="17" t="s">
        <v>1815</v>
      </c>
      <c r="R18" s="16" t="s">
        <v>103</v>
      </c>
      <c r="S18" s="19" t="s">
        <v>1816</v>
      </c>
      <c r="T18" s="19" t="s">
        <v>1817</v>
      </c>
      <c r="U18" s="19" t="s">
        <v>67</v>
      </c>
    </row>
    <row r="19" customFormat="false" ht="96" hidden="false" customHeight="true" outlineLevel="0" collapsed="false">
      <c r="A19" s="16" t="n">
        <v>15</v>
      </c>
      <c r="B19" s="16" t="s">
        <v>2357</v>
      </c>
      <c r="C19" s="17" t="s">
        <v>2358</v>
      </c>
      <c r="D19" s="17" t="s">
        <v>2359</v>
      </c>
      <c r="E19" s="16" t="n">
        <v>2016</v>
      </c>
      <c r="F19" s="17" t="s">
        <v>350</v>
      </c>
      <c r="G19" s="16" t="s">
        <v>199</v>
      </c>
      <c r="H19" s="23" t="s">
        <v>19</v>
      </c>
      <c r="I19" s="17" t="s">
        <v>328</v>
      </c>
      <c r="J19" s="17" t="s">
        <v>2360</v>
      </c>
      <c r="K19" s="17" t="s">
        <v>2361</v>
      </c>
      <c r="L19" s="17" t="s">
        <v>2362</v>
      </c>
      <c r="M19" s="17" t="s">
        <v>2363</v>
      </c>
      <c r="N19" s="17" t="s">
        <v>2364</v>
      </c>
      <c r="O19" s="17" t="s">
        <v>76</v>
      </c>
      <c r="P19" s="17" t="s">
        <v>2365</v>
      </c>
      <c r="Q19" s="17" t="s">
        <v>2366</v>
      </c>
      <c r="R19" s="16" t="s">
        <v>65</v>
      </c>
      <c r="S19" s="16"/>
      <c r="T19" s="19" t="s">
        <v>2367</v>
      </c>
      <c r="U19" s="19" t="s">
        <v>67</v>
      </c>
    </row>
  </sheetData>
  <autoFilter ref="A4:U19"/>
  <hyperlinks>
    <hyperlink ref="S5" r:id="rId1" display="https://github.com/HaiyuWu/vec2face"/>
    <hyperlink ref="T5" r:id="rId2" display="https://arxiv.org/abs/2409.02979"/>
    <hyperlink ref="U5" r:id="rId3" display="Search"/>
    <hyperlink ref="S6" r:id="rId4" display="https://github.com/foivospar/Arc2Face"/>
    <hyperlink ref="T6" r:id="rId5" display="https://arxiv.org/abs/2403.11641"/>
    <hyperlink ref="U6" r:id="rId6" display="Search"/>
    <hyperlink ref="T7" r:id="rId7" display="https://arxiv.org/abs/2311.10476"/>
    <hyperlink ref="U7" r:id="rId8" display="Search"/>
    <hyperlink ref="S8" r:id="rId9" display="https://github.com/mk-minchul/dcface"/>
    <hyperlink ref="T8" r:id="rId10" display="https://arxiv.org/abs/2304.07060"/>
    <hyperlink ref="U8" r:id="rId11" display="Search"/>
    <hyperlink ref="S9" r:id="rId12" display="https://github.com/microsoft/DigiFace1M"/>
    <hyperlink ref="T9" r:id="rId13" display="https://arxiv.org/abs/2210.02579"/>
    <hyperlink ref="U9" r:id="rId14" display="Search"/>
    <hyperlink ref="S10" r:id="rId15" display="https://github.com/fdbtrs/IDiff-Face"/>
    <hyperlink ref="T10" r:id="rId16" display="https://arxiv.org/abs/2308.04995"/>
    <hyperlink ref="U10" r:id="rId17" display="Search"/>
    <hyperlink ref="T11" r:id="rId18" display="https://arxiv.org/abs/2305.01021"/>
    <hyperlink ref="U11" r:id="rId19" display="Search"/>
    <hyperlink ref="S12" r:id="rId20" display="https://github.com/jackie840129/FedFR"/>
    <hyperlink ref="T12" r:id="rId21" display="https://arxiv.org/abs/2112.12496"/>
    <hyperlink ref="U12" r:id="rId22" display="Search"/>
    <hyperlink ref="T13" r:id="rId23" display="https://arxiv.org/abs/2112.07246"/>
    <hyperlink ref="U13" r:id="rId24" display="Search"/>
    <hyperlink ref="S14" r:id="rId25" display="https://github.com/fdbtrs/SFace-Privacy-friendly-and-Accurate-Face-Recognition-using-Synthetic-Data"/>
    <hyperlink ref="T14" r:id="rId26" display="https://arxiv.org/abs/2206.10520"/>
    <hyperlink ref="U14" r:id="rId27" display="Search"/>
    <hyperlink ref="T15" r:id="rId28" display="https://arxiv.org/abs/2104.03008"/>
    <hyperlink ref="U15" r:id="rId29" display="Search"/>
    <hyperlink ref="S16" r:id="rId30" display="https://github.com/haibo-qiu/SynFace"/>
    <hyperlink ref="T16" r:id="rId31" display="https://arxiv.org/abs/2108.07960"/>
    <hyperlink ref="U16" r:id="rId32" display="Search"/>
    <hyperlink ref="T17" r:id="rId33" display="https://arxiv.org/abs/2104.02821"/>
    <hyperlink ref="U17" r:id="rId34" display="Search"/>
    <hyperlink ref="S18" r:id="rId35" display="https://github.com/Hazelsuko07/InstaHide"/>
    <hyperlink ref="T18" r:id="rId36" display="https://arxiv.org/abs/2010.02772"/>
    <hyperlink ref="U18" r:id="rId37" display="Search"/>
    <hyperlink ref="T19" r:id="rId38" display="https://arxiv.org/abs/1607.08221"/>
    <hyperlink ref="U19" r:id="rId39"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48"/>
    <col collapsed="false" customWidth="true" hidden="false" outlineLevel="0" max="4" min="4" style="0" width="36"/>
    <col collapsed="false" customWidth="true" hidden="false" outlineLevel="0" max="5" min="5" style="0" width="7"/>
    <col collapsed="false" customWidth="true" hidden="false" outlineLevel="0" max="6" min="6" style="0" width="26"/>
    <col collapsed="false" customWidth="true" hidden="false" outlineLevel="0" max="7" min="7" style="0" width="11"/>
    <col collapsed="false" customWidth="true" hidden="false" outlineLevel="0" max="8" min="8" style="0" width="26"/>
    <col collapsed="false" customWidth="true" hidden="false" outlineLevel="0" max="9" min="9" style="0" width="22"/>
    <col collapsed="false" customWidth="true" hidden="false" outlineLevel="0" max="11" min="10" style="0" width="34"/>
    <col collapsed="false" customWidth="true" hidden="false" outlineLevel="0" max="13" min="12" style="0" width="60"/>
    <col collapsed="false" customWidth="true" hidden="false" outlineLevel="0" max="14" min="14" style="0" width="36"/>
    <col collapsed="false" customWidth="true" hidden="false" outlineLevel="0" max="15" min="15" style="0" width="28"/>
    <col collapsed="false" customWidth="true" hidden="false" outlineLevel="0" max="16" min="16" style="0" width="50"/>
    <col collapsed="false" customWidth="true" hidden="false" outlineLevel="0" max="17" min="17" style="0" width="28"/>
    <col collapsed="false" customWidth="true" hidden="false" outlineLevel="0" max="18" min="18" style="0" width="10"/>
    <col collapsed="false" customWidth="true" hidden="false" outlineLevel="0" max="20" min="19" style="0" width="40"/>
    <col collapsed="false" customWidth="true" hidden="false" outlineLevel="0" max="21" min="21" style="0" width="30"/>
  </cols>
  <sheetData>
    <row r="1" customFormat="false" ht="15" hidden="false" customHeight="false" outlineLevel="0" collapsed="false">
      <c r="A1" s="13" t="s">
        <v>25</v>
      </c>
    </row>
    <row r="2" customFormat="false" ht="15" hidden="false" customHeight="false" outlineLevel="0" collapsed="false">
      <c r="A2" s="14" t="s">
        <v>2718</v>
      </c>
    </row>
    <row r="4" customFormat="false" ht="30" hidden="false" customHeight="true" outlineLevel="0" collapsed="false">
      <c r="A4" s="15" t="s">
        <v>31</v>
      </c>
      <c r="B4" s="15" t="s">
        <v>32</v>
      </c>
      <c r="C4" s="15" t="s">
        <v>33</v>
      </c>
      <c r="D4" s="15" t="s">
        <v>34</v>
      </c>
      <c r="E4" s="15" t="s">
        <v>35</v>
      </c>
      <c r="F4" s="15" t="s">
        <v>36</v>
      </c>
      <c r="G4" s="15" t="s">
        <v>37</v>
      </c>
      <c r="H4" s="15" t="s">
        <v>38</v>
      </c>
      <c r="I4" s="15" t="s">
        <v>39</v>
      </c>
      <c r="J4" s="15" t="s">
        <v>40</v>
      </c>
      <c r="K4" s="15" t="s">
        <v>41</v>
      </c>
      <c r="L4" s="15" t="s">
        <v>42</v>
      </c>
      <c r="M4" s="15" t="s">
        <v>43</v>
      </c>
      <c r="N4" s="15" t="s">
        <v>44</v>
      </c>
      <c r="O4" s="15" t="s">
        <v>45</v>
      </c>
      <c r="P4" s="15" t="s">
        <v>46</v>
      </c>
      <c r="Q4" s="15" t="s">
        <v>47</v>
      </c>
      <c r="R4" s="15" t="s">
        <v>48</v>
      </c>
      <c r="S4" s="15" t="s">
        <v>49</v>
      </c>
      <c r="T4" s="15" t="s">
        <v>50</v>
      </c>
      <c r="U4" s="15" t="s">
        <v>51</v>
      </c>
    </row>
    <row r="5" customFormat="false" ht="96" hidden="false" customHeight="true" outlineLevel="0" collapsed="false">
      <c r="A5" s="16" t="n">
        <v>1</v>
      </c>
      <c r="B5" s="16" t="s">
        <v>68</v>
      </c>
      <c r="C5" s="17" t="s">
        <v>69</v>
      </c>
      <c r="D5" s="17" t="s">
        <v>70</v>
      </c>
      <c r="E5" s="16" t="n">
        <v>2026</v>
      </c>
      <c r="F5" s="17" t="s">
        <v>71</v>
      </c>
      <c r="G5" s="16" t="s">
        <v>56</v>
      </c>
      <c r="H5" s="20" t="s">
        <v>25</v>
      </c>
      <c r="I5" s="17" t="s">
        <v>72</v>
      </c>
      <c r="J5" s="17" t="s">
        <v>73</v>
      </c>
      <c r="K5" s="17" t="s">
        <v>73</v>
      </c>
      <c r="L5" s="17" t="s">
        <v>74</v>
      </c>
      <c r="M5" s="17" t="s">
        <v>75</v>
      </c>
      <c r="N5" s="17" t="s">
        <v>76</v>
      </c>
      <c r="O5" s="17" t="s">
        <v>76</v>
      </c>
      <c r="P5" s="17" t="s">
        <v>77</v>
      </c>
      <c r="Q5" s="17" t="s">
        <v>78</v>
      </c>
      <c r="R5" s="16" t="s">
        <v>65</v>
      </c>
      <c r="S5" s="16"/>
      <c r="T5" s="19" t="s">
        <v>79</v>
      </c>
      <c r="U5" s="19" t="s">
        <v>67</v>
      </c>
    </row>
    <row r="6" customFormat="false" ht="96" hidden="false" customHeight="true" outlineLevel="0" collapsed="false">
      <c r="A6" s="16" t="n">
        <v>2</v>
      </c>
      <c r="B6" s="16" t="s">
        <v>93</v>
      </c>
      <c r="C6" s="17" t="s">
        <v>94</v>
      </c>
      <c r="D6" s="17" t="s">
        <v>95</v>
      </c>
      <c r="E6" s="16" t="n">
        <v>2026</v>
      </c>
      <c r="F6" s="17" t="s">
        <v>96</v>
      </c>
      <c r="G6" s="16" t="s">
        <v>56</v>
      </c>
      <c r="H6" s="20" t="s">
        <v>25</v>
      </c>
      <c r="I6" s="17" t="s">
        <v>72</v>
      </c>
      <c r="J6" s="17" t="s">
        <v>97</v>
      </c>
      <c r="K6" s="17" t="s">
        <v>98</v>
      </c>
      <c r="L6" s="17" t="s">
        <v>99</v>
      </c>
      <c r="M6" s="17" t="s">
        <v>100</v>
      </c>
      <c r="N6" s="17" t="s">
        <v>76</v>
      </c>
      <c r="O6" s="17" t="s">
        <v>76</v>
      </c>
      <c r="P6" s="17" t="s">
        <v>101</v>
      </c>
      <c r="Q6" s="17" t="s">
        <v>102</v>
      </c>
      <c r="R6" s="16" t="s">
        <v>103</v>
      </c>
      <c r="S6" s="19" t="s">
        <v>104</v>
      </c>
      <c r="T6" s="19" t="s">
        <v>104</v>
      </c>
      <c r="U6" s="19" t="s">
        <v>67</v>
      </c>
    </row>
    <row r="7" customFormat="false" ht="96" hidden="false" customHeight="true" outlineLevel="0" collapsed="false">
      <c r="A7" s="16" t="n">
        <v>3</v>
      </c>
      <c r="B7" s="16" t="s">
        <v>105</v>
      </c>
      <c r="C7" s="17" t="s">
        <v>106</v>
      </c>
      <c r="D7" s="17" t="s">
        <v>95</v>
      </c>
      <c r="E7" s="16" t="n">
        <v>2026</v>
      </c>
      <c r="F7" s="17" t="s">
        <v>71</v>
      </c>
      <c r="G7" s="16" t="s">
        <v>56</v>
      </c>
      <c r="H7" s="20" t="s">
        <v>25</v>
      </c>
      <c r="I7" s="17" t="s">
        <v>72</v>
      </c>
      <c r="J7" s="17" t="s">
        <v>73</v>
      </c>
      <c r="K7" s="17" t="s">
        <v>73</v>
      </c>
      <c r="L7" s="17" t="s">
        <v>107</v>
      </c>
      <c r="M7" s="17" t="s">
        <v>108</v>
      </c>
      <c r="N7" s="17" t="s">
        <v>76</v>
      </c>
      <c r="O7" s="17" t="s">
        <v>76</v>
      </c>
      <c r="P7" s="17" t="s">
        <v>77</v>
      </c>
      <c r="Q7" s="17" t="s">
        <v>109</v>
      </c>
      <c r="R7" s="16" t="s">
        <v>65</v>
      </c>
      <c r="S7" s="16"/>
      <c r="T7" s="19" t="s">
        <v>110</v>
      </c>
      <c r="U7" s="19" t="s">
        <v>67</v>
      </c>
    </row>
    <row r="8" customFormat="false" ht="96" hidden="false" customHeight="true" outlineLevel="0" collapsed="false">
      <c r="A8" s="16" t="n">
        <v>4</v>
      </c>
      <c r="B8" s="16" t="s">
        <v>135</v>
      </c>
      <c r="C8" s="17" t="s">
        <v>136</v>
      </c>
      <c r="D8" s="17" t="s">
        <v>137</v>
      </c>
      <c r="E8" s="16" t="n">
        <v>2026</v>
      </c>
      <c r="F8" s="17" t="s">
        <v>138</v>
      </c>
      <c r="G8" s="16" t="s">
        <v>84</v>
      </c>
      <c r="H8" s="20" t="s">
        <v>25</v>
      </c>
      <c r="I8" s="17" t="s">
        <v>72</v>
      </c>
      <c r="J8" s="17" t="s">
        <v>73</v>
      </c>
      <c r="K8" s="17" t="s">
        <v>73</v>
      </c>
      <c r="L8" s="17" t="s">
        <v>139</v>
      </c>
      <c r="M8" s="17" t="s">
        <v>140</v>
      </c>
      <c r="N8" s="17" t="s">
        <v>76</v>
      </c>
      <c r="O8" s="17" t="s">
        <v>76</v>
      </c>
      <c r="P8" s="17" t="s">
        <v>141</v>
      </c>
      <c r="Q8" s="17" t="s">
        <v>142</v>
      </c>
      <c r="R8" s="16" t="s">
        <v>65</v>
      </c>
      <c r="S8" s="16"/>
      <c r="T8" s="19" t="s">
        <v>143</v>
      </c>
      <c r="U8" s="19" t="s">
        <v>67</v>
      </c>
    </row>
    <row r="9" customFormat="false" ht="96" hidden="false" customHeight="true" outlineLevel="0" collapsed="false">
      <c r="A9" s="16" t="n">
        <v>5</v>
      </c>
      <c r="B9" s="16" t="s">
        <v>246</v>
      </c>
      <c r="C9" s="17" t="s">
        <v>247</v>
      </c>
      <c r="D9" s="17" t="s">
        <v>248</v>
      </c>
      <c r="E9" s="16" t="n">
        <v>2025</v>
      </c>
      <c r="F9" s="17" t="s">
        <v>249</v>
      </c>
      <c r="G9" s="16" t="s">
        <v>84</v>
      </c>
      <c r="H9" s="20" t="s">
        <v>25</v>
      </c>
      <c r="I9" s="17" t="s">
        <v>72</v>
      </c>
      <c r="J9" s="17" t="s">
        <v>73</v>
      </c>
      <c r="K9" s="17" t="s">
        <v>73</v>
      </c>
      <c r="L9" s="17" t="s">
        <v>250</v>
      </c>
      <c r="M9" s="17" t="s">
        <v>251</v>
      </c>
      <c r="N9" s="17" t="s">
        <v>76</v>
      </c>
      <c r="O9" s="17" t="s">
        <v>76</v>
      </c>
      <c r="P9" s="17" t="s">
        <v>252</v>
      </c>
      <c r="Q9" s="17" t="s">
        <v>253</v>
      </c>
      <c r="R9" s="16" t="s">
        <v>65</v>
      </c>
      <c r="S9" s="16"/>
      <c r="T9" s="19" t="s">
        <v>254</v>
      </c>
      <c r="U9" s="19" t="s">
        <v>67</v>
      </c>
    </row>
    <row r="10" customFormat="false" ht="96" hidden="false" customHeight="true" outlineLevel="0" collapsed="false">
      <c r="A10" s="16" t="n">
        <v>6</v>
      </c>
      <c r="B10" s="16" t="s">
        <v>339</v>
      </c>
      <c r="C10" s="17" t="s">
        <v>340</v>
      </c>
      <c r="D10" s="17" t="s">
        <v>341</v>
      </c>
      <c r="E10" s="16" t="n">
        <v>2025</v>
      </c>
      <c r="F10" s="17" t="s">
        <v>138</v>
      </c>
      <c r="G10" s="16" t="s">
        <v>84</v>
      </c>
      <c r="H10" s="20" t="s">
        <v>25</v>
      </c>
      <c r="I10" s="17" t="s">
        <v>72</v>
      </c>
      <c r="J10" s="17" t="s">
        <v>73</v>
      </c>
      <c r="K10" s="17" t="s">
        <v>73</v>
      </c>
      <c r="L10" s="17" t="s">
        <v>342</v>
      </c>
      <c r="M10" s="17" t="s">
        <v>343</v>
      </c>
      <c r="N10" s="17" t="s">
        <v>76</v>
      </c>
      <c r="O10" s="17" t="s">
        <v>76</v>
      </c>
      <c r="P10" s="17" t="s">
        <v>344</v>
      </c>
      <c r="Q10" s="17" t="s">
        <v>345</v>
      </c>
      <c r="R10" s="16" t="s">
        <v>65</v>
      </c>
      <c r="S10" s="16"/>
      <c r="T10" s="19" t="s">
        <v>346</v>
      </c>
      <c r="U10" s="19" t="s">
        <v>67</v>
      </c>
    </row>
    <row r="11" customFormat="false" ht="96" hidden="false" customHeight="true" outlineLevel="0" collapsed="false">
      <c r="A11" s="16" t="n">
        <v>7</v>
      </c>
      <c r="B11" s="16" t="s">
        <v>420</v>
      </c>
      <c r="C11" s="17" t="s">
        <v>421</v>
      </c>
      <c r="D11" s="17" t="s">
        <v>422</v>
      </c>
      <c r="E11" s="16" t="n">
        <v>2024</v>
      </c>
      <c r="F11" s="17" t="s">
        <v>423</v>
      </c>
      <c r="G11" s="16" t="s">
        <v>56</v>
      </c>
      <c r="H11" s="20" t="s">
        <v>25</v>
      </c>
      <c r="I11" s="17" t="s">
        <v>72</v>
      </c>
      <c r="J11" s="17" t="s">
        <v>424</v>
      </c>
      <c r="K11" s="17" t="s">
        <v>425</v>
      </c>
      <c r="L11" s="17" t="s">
        <v>426</v>
      </c>
      <c r="M11" s="17" t="s">
        <v>427</v>
      </c>
      <c r="N11" s="17" t="s">
        <v>76</v>
      </c>
      <c r="O11" s="17" t="s">
        <v>76</v>
      </c>
      <c r="P11" s="17" t="s">
        <v>428</v>
      </c>
      <c r="Q11" s="17" t="s">
        <v>429</v>
      </c>
      <c r="R11" s="16" t="s">
        <v>65</v>
      </c>
      <c r="S11" s="16"/>
      <c r="T11" s="19" t="s">
        <v>430</v>
      </c>
      <c r="U11" s="19" t="s">
        <v>67</v>
      </c>
    </row>
    <row r="12" customFormat="false" ht="96" hidden="false" customHeight="true" outlineLevel="0" collapsed="false">
      <c r="A12" s="16" t="n">
        <v>8</v>
      </c>
      <c r="B12" s="16" t="s">
        <v>650</v>
      </c>
      <c r="C12" s="17" t="s">
        <v>651</v>
      </c>
      <c r="D12" s="17" t="s">
        <v>652</v>
      </c>
      <c r="E12" s="16" t="n">
        <v>2023</v>
      </c>
      <c r="F12" s="17" t="s">
        <v>138</v>
      </c>
      <c r="G12" s="16" t="s">
        <v>84</v>
      </c>
      <c r="H12" s="20" t="s">
        <v>25</v>
      </c>
      <c r="I12" s="17" t="s">
        <v>72</v>
      </c>
      <c r="J12" s="17" t="s">
        <v>73</v>
      </c>
      <c r="K12" s="17" t="s">
        <v>73</v>
      </c>
      <c r="L12" s="17" t="s">
        <v>653</v>
      </c>
      <c r="M12" s="17" t="s">
        <v>654</v>
      </c>
      <c r="N12" s="17" t="s">
        <v>76</v>
      </c>
      <c r="O12" s="17" t="s">
        <v>76</v>
      </c>
      <c r="P12" s="17" t="s">
        <v>655</v>
      </c>
      <c r="Q12" s="17" t="s">
        <v>656</v>
      </c>
      <c r="R12" s="16" t="s">
        <v>65</v>
      </c>
      <c r="S12" s="16"/>
      <c r="T12" s="19" t="s">
        <v>657</v>
      </c>
      <c r="U12" s="19" t="s">
        <v>67</v>
      </c>
    </row>
    <row r="13" customFormat="false" ht="96" hidden="false" customHeight="true" outlineLevel="0" collapsed="false">
      <c r="A13" s="16" t="n">
        <v>9</v>
      </c>
      <c r="B13" s="16" t="s">
        <v>1053</v>
      </c>
      <c r="C13" s="17" t="s">
        <v>1054</v>
      </c>
      <c r="D13" s="17" t="s">
        <v>1055</v>
      </c>
      <c r="E13" s="16" t="n">
        <v>2023</v>
      </c>
      <c r="F13" s="17" t="s">
        <v>557</v>
      </c>
      <c r="G13" s="16" t="s">
        <v>446</v>
      </c>
      <c r="H13" s="20" t="s">
        <v>25</v>
      </c>
      <c r="I13" s="17" t="s">
        <v>72</v>
      </c>
      <c r="J13" s="17" t="s">
        <v>73</v>
      </c>
      <c r="K13" s="17" t="s">
        <v>73</v>
      </c>
      <c r="L13" s="17" t="s">
        <v>1056</v>
      </c>
      <c r="M13" s="17" t="s">
        <v>1057</v>
      </c>
      <c r="N13" s="17" t="s">
        <v>76</v>
      </c>
      <c r="O13" s="17" t="s">
        <v>76</v>
      </c>
      <c r="P13" s="17" t="s">
        <v>1058</v>
      </c>
      <c r="Q13" s="17" t="s">
        <v>1059</v>
      </c>
      <c r="R13" s="16" t="s">
        <v>65</v>
      </c>
      <c r="S13" s="16"/>
      <c r="T13" s="19" t="s">
        <v>1060</v>
      </c>
      <c r="U13" s="19" t="s">
        <v>67</v>
      </c>
    </row>
    <row r="14" customFormat="false" ht="96" hidden="false" customHeight="true" outlineLevel="0" collapsed="false">
      <c r="A14" s="16" t="n">
        <v>10</v>
      </c>
      <c r="B14" s="16" t="s">
        <v>1105</v>
      </c>
      <c r="C14" s="17" t="s">
        <v>1106</v>
      </c>
      <c r="D14" s="17" t="s">
        <v>1107</v>
      </c>
      <c r="E14" s="16" t="n">
        <v>2023</v>
      </c>
      <c r="F14" s="17" t="s">
        <v>1108</v>
      </c>
      <c r="G14" s="16" t="s">
        <v>162</v>
      </c>
      <c r="H14" s="20" t="s">
        <v>25</v>
      </c>
      <c r="I14" s="17" t="s">
        <v>72</v>
      </c>
      <c r="J14" s="17" t="s">
        <v>1109</v>
      </c>
      <c r="K14" s="17" t="s">
        <v>1109</v>
      </c>
      <c r="L14" s="17" t="s">
        <v>1110</v>
      </c>
      <c r="M14" s="17" t="s">
        <v>1111</v>
      </c>
      <c r="N14" s="17" t="s">
        <v>1112</v>
      </c>
      <c r="O14" s="17" t="s">
        <v>76</v>
      </c>
      <c r="P14" s="17" t="s">
        <v>1113</v>
      </c>
      <c r="Q14" s="17" t="s">
        <v>1114</v>
      </c>
      <c r="R14" s="16" t="s">
        <v>65</v>
      </c>
      <c r="S14" s="16"/>
      <c r="T14" s="19" t="s">
        <v>1115</v>
      </c>
      <c r="U14" s="19" t="s">
        <v>67</v>
      </c>
    </row>
    <row r="15" customFormat="false" ht="96" hidden="false" customHeight="true" outlineLevel="0" collapsed="false">
      <c r="A15" s="16" t="n">
        <v>11</v>
      </c>
      <c r="B15" s="16" t="s">
        <v>1401</v>
      </c>
      <c r="C15" s="17" t="s">
        <v>1402</v>
      </c>
      <c r="D15" s="17" t="s">
        <v>1403</v>
      </c>
      <c r="E15" s="16" t="n">
        <v>2021</v>
      </c>
      <c r="F15" s="17" t="s">
        <v>1404</v>
      </c>
      <c r="G15" s="16" t="s">
        <v>56</v>
      </c>
      <c r="H15" s="20" t="s">
        <v>25</v>
      </c>
      <c r="I15" s="17" t="s">
        <v>72</v>
      </c>
      <c r="J15" s="17" t="s">
        <v>1405</v>
      </c>
      <c r="K15" s="17" t="s">
        <v>1109</v>
      </c>
      <c r="L15" s="17" t="s">
        <v>1406</v>
      </c>
      <c r="M15" s="17" t="s">
        <v>1407</v>
      </c>
      <c r="N15" s="17" t="s">
        <v>76</v>
      </c>
      <c r="O15" s="17" t="s">
        <v>76</v>
      </c>
      <c r="P15" s="17" t="s">
        <v>1408</v>
      </c>
      <c r="Q15" s="17" t="s">
        <v>1409</v>
      </c>
      <c r="R15" s="16" t="s">
        <v>65</v>
      </c>
      <c r="S15" s="16"/>
      <c r="T15" s="19" t="s">
        <v>1410</v>
      </c>
      <c r="U15" s="19" t="s">
        <v>67</v>
      </c>
    </row>
    <row r="16" customFormat="false" ht="96" hidden="false" customHeight="true" outlineLevel="0" collapsed="false">
      <c r="A16" s="16" t="n">
        <v>12</v>
      </c>
      <c r="B16" s="16" t="s">
        <v>1445</v>
      </c>
      <c r="C16" s="17" t="s">
        <v>1446</v>
      </c>
      <c r="D16" s="17" t="s">
        <v>1447</v>
      </c>
      <c r="E16" s="16" t="n">
        <v>2021</v>
      </c>
      <c r="F16" s="17" t="s">
        <v>1448</v>
      </c>
      <c r="G16" s="16" t="s">
        <v>162</v>
      </c>
      <c r="H16" s="20" t="s">
        <v>25</v>
      </c>
      <c r="I16" s="17" t="s">
        <v>72</v>
      </c>
      <c r="J16" s="17" t="s">
        <v>1449</v>
      </c>
      <c r="K16" s="17" t="s">
        <v>1109</v>
      </c>
      <c r="L16" s="17" t="s">
        <v>1450</v>
      </c>
      <c r="M16" s="17" t="s">
        <v>1451</v>
      </c>
      <c r="N16" s="17" t="s">
        <v>1452</v>
      </c>
      <c r="O16" s="17" t="s">
        <v>76</v>
      </c>
      <c r="P16" s="17" t="s">
        <v>1453</v>
      </c>
      <c r="Q16" s="17" t="s">
        <v>1454</v>
      </c>
      <c r="R16" s="16" t="s">
        <v>65</v>
      </c>
      <c r="S16" s="16"/>
      <c r="T16" s="19" t="s">
        <v>1455</v>
      </c>
      <c r="U16" s="19" t="s">
        <v>67</v>
      </c>
    </row>
    <row r="17" customFormat="false" ht="96" hidden="false" customHeight="true" outlineLevel="0" collapsed="false">
      <c r="A17" s="16" t="n">
        <v>13</v>
      </c>
      <c r="B17" s="16" t="s">
        <v>1536</v>
      </c>
      <c r="C17" s="17" t="s">
        <v>1537</v>
      </c>
      <c r="D17" s="17" t="s">
        <v>1538</v>
      </c>
      <c r="E17" s="16" t="n">
        <v>2021</v>
      </c>
      <c r="F17" s="17" t="s">
        <v>796</v>
      </c>
      <c r="G17" s="16" t="s">
        <v>199</v>
      </c>
      <c r="H17" s="20" t="s">
        <v>25</v>
      </c>
      <c r="I17" s="17" t="s">
        <v>72</v>
      </c>
      <c r="J17" s="17" t="s">
        <v>1539</v>
      </c>
      <c r="K17" s="17" t="s">
        <v>1109</v>
      </c>
      <c r="L17" s="17" t="s">
        <v>1540</v>
      </c>
      <c r="M17" s="17" t="s">
        <v>1541</v>
      </c>
      <c r="N17" s="17" t="s">
        <v>1452</v>
      </c>
      <c r="O17" s="17" t="s">
        <v>76</v>
      </c>
      <c r="P17" s="17" t="s">
        <v>1542</v>
      </c>
      <c r="Q17" s="17" t="s">
        <v>1543</v>
      </c>
      <c r="R17" s="16" t="s">
        <v>65</v>
      </c>
      <c r="S17" s="16"/>
      <c r="T17" s="19" t="s">
        <v>1544</v>
      </c>
      <c r="U17" s="19" t="s">
        <v>67</v>
      </c>
    </row>
    <row r="18" customFormat="false" ht="96" hidden="false" customHeight="true" outlineLevel="0" collapsed="false">
      <c r="A18" s="16" t="n">
        <v>14</v>
      </c>
      <c r="B18" s="16" t="s">
        <v>1640</v>
      </c>
      <c r="C18" s="17" t="s">
        <v>1641</v>
      </c>
      <c r="D18" s="17" t="s">
        <v>1642</v>
      </c>
      <c r="E18" s="16" t="n">
        <v>2021</v>
      </c>
      <c r="F18" s="17" t="s">
        <v>83</v>
      </c>
      <c r="G18" s="16" t="s">
        <v>84</v>
      </c>
      <c r="H18" s="20" t="s">
        <v>25</v>
      </c>
      <c r="I18" s="17" t="s">
        <v>72</v>
      </c>
      <c r="J18" s="17" t="s">
        <v>1643</v>
      </c>
      <c r="K18" s="17" t="s">
        <v>73</v>
      </c>
      <c r="L18" s="17" t="s">
        <v>1644</v>
      </c>
      <c r="M18" s="17" t="s">
        <v>1645</v>
      </c>
      <c r="N18" s="17" t="s">
        <v>76</v>
      </c>
      <c r="O18" s="17" t="s">
        <v>76</v>
      </c>
      <c r="P18" s="17" t="s">
        <v>1646</v>
      </c>
      <c r="Q18" s="17" t="s">
        <v>1647</v>
      </c>
      <c r="R18" s="16" t="s">
        <v>65</v>
      </c>
      <c r="S18" s="16"/>
      <c r="T18" s="19" t="s">
        <v>1648</v>
      </c>
      <c r="U18" s="19" t="s">
        <v>67</v>
      </c>
    </row>
    <row r="19" customFormat="false" ht="96" hidden="false" customHeight="true" outlineLevel="0" collapsed="false">
      <c r="A19" s="16" t="n">
        <v>15</v>
      </c>
      <c r="B19" s="16" t="s">
        <v>1774</v>
      </c>
      <c r="C19" s="17" t="s">
        <v>1775</v>
      </c>
      <c r="D19" s="17" t="s">
        <v>1776</v>
      </c>
      <c r="E19" s="16" t="n">
        <v>2020</v>
      </c>
      <c r="F19" s="17" t="s">
        <v>1777</v>
      </c>
      <c r="G19" s="16" t="s">
        <v>162</v>
      </c>
      <c r="H19" s="20" t="s">
        <v>25</v>
      </c>
      <c r="I19" s="17" t="s">
        <v>72</v>
      </c>
      <c r="J19" s="17" t="s">
        <v>1109</v>
      </c>
      <c r="K19" s="17" t="s">
        <v>1109</v>
      </c>
      <c r="L19" s="17" t="s">
        <v>1778</v>
      </c>
      <c r="M19" s="17" t="s">
        <v>1779</v>
      </c>
      <c r="N19" s="17" t="s">
        <v>1780</v>
      </c>
      <c r="O19" s="17" t="s">
        <v>76</v>
      </c>
      <c r="P19" s="17" t="s">
        <v>1781</v>
      </c>
      <c r="Q19" s="17" t="s">
        <v>1782</v>
      </c>
      <c r="R19" s="16" t="s">
        <v>65</v>
      </c>
      <c r="S19" s="16"/>
      <c r="T19" s="19" t="s">
        <v>1783</v>
      </c>
      <c r="U19" s="19" t="s">
        <v>67</v>
      </c>
    </row>
    <row r="20" customFormat="false" ht="96" hidden="false" customHeight="true" outlineLevel="0" collapsed="false">
      <c r="A20" s="16" t="n">
        <v>16</v>
      </c>
      <c r="B20" s="16" t="s">
        <v>1829</v>
      </c>
      <c r="C20" s="17" t="s">
        <v>1830</v>
      </c>
      <c r="D20" s="17" t="s">
        <v>1831</v>
      </c>
      <c r="E20" s="16" t="n">
        <v>2020</v>
      </c>
      <c r="F20" s="17" t="s">
        <v>1832</v>
      </c>
      <c r="G20" s="16" t="s">
        <v>162</v>
      </c>
      <c r="H20" s="20" t="s">
        <v>25</v>
      </c>
      <c r="I20" s="17" t="s">
        <v>72</v>
      </c>
      <c r="J20" s="17" t="s">
        <v>1833</v>
      </c>
      <c r="K20" s="17" t="s">
        <v>1834</v>
      </c>
      <c r="L20" s="17" t="s">
        <v>1835</v>
      </c>
      <c r="M20" s="17" t="s">
        <v>1836</v>
      </c>
      <c r="N20" s="17" t="s">
        <v>76</v>
      </c>
      <c r="O20" s="17" t="s">
        <v>76</v>
      </c>
      <c r="P20" s="17" t="s">
        <v>1837</v>
      </c>
      <c r="Q20" s="17" t="s">
        <v>1838</v>
      </c>
      <c r="R20" s="16" t="s">
        <v>65</v>
      </c>
      <c r="S20" s="16"/>
      <c r="T20" s="19" t="s">
        <v>1839</v>
      </c>
      <c r="U20" s="19" t="s">
        <v>67</v>
      </c>
    </row>
    <row r="21" customFormat="false" ht="96" hidden="false" customHeight="true" outlineLevel="0" collapsed="false">
      <c r="A21" s="16" t="n">
        <v>17</v>
      </c>
      <c r="B21" s="16" t="s">
        <v>1899</v>
      </c>
      <c r="C21" s="17" t="s">
        <v>1900</v>
      </c>
      <c r="D21" s="17" t="s">
        <v>1107</v>
      </c>
      <c r="E21" s="16" t="n">
        <v>2020</v>
      </c>
      <c r="F21" s="17" t="s">
        <v>1901</v>
      </c>
      <c r="G21" s="16" t="s">
        <v>162</v>
      </c>
      <c r="H21" s="20" t="s">
        <v>25</v>
      </c>
      <c r="I21" s="17" t="s">
        <v>72</v>
      </c>
      <c r="J21" s="17" t="s">
        <v>1109</v>
      </c>
      <c r="K21" s="17" t="s">
        <v>1902</v>
      </c>
      <c r="L21" s="17" t="s">
        <v>1903</v>
      </c>
      <c r="M21" s="17" t="s">
        <v>1904</v>
      </c>
      <c r="N21" s="17" t="s">
        <v>1905</v>
      </c>
      <c r="O21" s="17" t="s">
        <v>76</v>
      </c>
      <c r="P21" s="17" t="s">
        <v>1906</v>
      </c>
      <c r="Q21" s="17" t="s">
        <v>1907</v>
      </c>
      <c r="R21" s="16" t="s">
        <v>65</v>
      </c>
      <c r="S21" s="16"/>
      <c r="T21" s="19" t="s">
        <v>1908</v>
      </c>
      <c r="U21" s="19" t="s">
        <v>67</v>
      </c>
    </row>
    <row r="22" customFormat="false" ht="96" hidden="false" customHeight="true" outlineLevel="0" collapsed="false">
      <c r="A22" s="16" t="n">
        <v>18</v>
      </c>
      <c r="B22" s="16" t="s">
        <v>1941</v>
      </c>
      <c r="C22" s="17" t="s">
        <v>1942</v>
      </c>
      <c r="D22" s="17" t="s">
        <v>1943</v>
      </c>
      <c r="E22" s="16" t="n">
        <v>2019</v>
      </c>
      <c r="F22" s="17" t="s">
        <v>1944</v>
      </c>
      <c r="G22" s="16" t="s">
        <v>148</v>
      </c>
      <c r="H22" s="20" t="s">
        <v>25</v>
      </c>
      <c r="I22" s="17" t="s">
        <v>72</v>
      </c>
      <c r="J22" s="17" t="s">
        <v>1945</v>
      </c>
      <c r="K22" s="17" t="s">
        <v>1946</v>
      </c>
      <c r="L22" s="17" t="s">
        <v>1947</v>
      </c>
      <c r="M22" s="17" t="s">
        <v>1948</v>
      </c>
      <c r="N22" s="17" t="s">
        <v>76</v>
      </c>
      <c r="O22" s="17" t="s">
        <v>76</v>
      </c>
      <c r="P22" s="17" t="s">
        <v>1949</v>
      </c>
      <c r="Q22" s="17" t="s">
        <v>1950</v>
      </c>
      <c r="R22" s="16" t="s">
        <v>65</v>
      </c>
      <c r="S22" s="16"/>
      <c r="T22" s="19" t="s">
        <v>1951</v>
      </c>
      <c r="U22" s="19" t="s">
        <v>67</v>
      </c>
    </row>
    <row r="23" customFormat="false" ht="96" hidden="false" customHeight="true" outlineLevel="0" collapsed="false">
      <c r="A23" s="16" t="n">
        <v>19</v>
      </c>
      <c r="B23" s="16" t="s">
        <v>1988</v>
      </c>
      <c r="C23" s="17" t="s">
        <v>1989</v>
      </c>
      <c r="D23" s="17" t="s">
        <v>1990</v>
      </c>
      <c r="E23" s="16" t="n">
        <v>2019</v>
      </c>
      <c r="F23" s="17" t="s">
        <v>1991</v>
      </c>
      <c r="G23" s="16" t="s">
        <v>162</v>
      </c>
      <c r="H23" s="20" t="s">
        <v>25</v>
      </c>
      <c r="I23" s="17" t="s">
        <v>72</v>
      </c>
      <c r="J23" s="17" t="s">
        <v>1992</v>
      </c>
      <c r="K23" s="17" t="s">
        <v>1993</v>
      </c>
      <c r="L23" s="17" t="s">
        <v>1994</v>
      </c>
      <c r="M23" s="17" t="s">
        <v>1995</v>
      </c>
      <c r="N23" s="17" t="s">
        <v>1996</v>
      </c>
      <c r="O23" s="17" t="s">
        <v>76</v>
      </c>
      <c r="P23" s="17" t="s">
        <v>1997</v>
      </c>
      <c r="Q23" s="17" t="s">
        <v>1998</v>
      </c>
      <c r="R23" s="16" t="s">
        <v>65</v>
      </c>
      <c r="S23" s="16"/>
      <c r="T23" s="19" t="s">
        <v>1999</v>
      </c>
      <c r="U23" s="19" t="s">
        <v>67</v>
      </c>
    </row>
    <row r="24" customFormat="false" ht="96" hidden="false" customHeight="true" outlineLevel="0" collapsed="false">
      <c r="A24" s="16" t="n">
        <v>20</v>
      </c>
      <c r="B24" s="16" t="s">
        <v>2100</v>
      </c>
      <c r="C24" s="17" t="s">
        <v>2101</v>
      </c>
      <c r="D24" s="17" t="s">
        <v>2102</v>
      </c>
      <c r="E24" s="16" t="n">
        <v>2018</v>
      </c>
      <c r="F24" s="17" t="s">
        <v>2103</v>
      </c>
      <c r="G24" s="16" t="s">
        <v>148</v>
      </c>
      <c r="H24" s="20" t="s">
        <v>25</v>
      </c>
      <c r="I24" s="17" t="s">
        <v>72</v>
      </c>
      <c r="J24" s="17" t="s">
        <v>2104</v>
      </c>
      <c r="K24" s="17" t="s">
        <v>2105</v>
      </c>
      <c r="L24" s="17" t="s">
        <v>2106</v>
      </c>
      <c r="M24" s="17" t="s">
        <v>2107</v>
      </c>
      <c r="N24" s="17" t="s">
        <v>2108</v>
      </c>
      <c r="O24" s="17" t="s">
        <v>76</v>
      </c>
      <c r="P24" s="17" t="s">
        <v>2109</v>
      </c>
      <c r="Q24" s="17" t="s">
        <v>2110</v>
      </c>
      <c r="R24" s="16" t="s">
        <v>65</v>
      </c>
      <c r="S24" s="16"/>
      <c r="T24" s="19" t="s">
        <v>2111</v>
      </c>
      <c r="U24" s="19" t="s">
        <v>67</v>
      </c>
    </row>
    <row r="25" customFormat="false" ht="96" hidden="false" customHeight="true" outlineLevel="0" collapsed="false">
      <c r="A25" s="16" t="n">
        <v>21</v>
      </c>
      <c r="B25" s="16" t="s">
        <v>2290</v>
      </c>
      <c r="C25" s="17" t="s">
        <v>2291</v>
      </c>
      <c r="D25" s="17" t="s">
        <v>2292</v>
      </c>
      <c r="E25" s="16" t="n">
        <v>2016</v>
      </c>
      <c r="F25" s="17" t="s">
        <v>2293</v>
      </c>
      <c r="G25" s="16" t="s">
        <v>84</v>
      </c>
      <c r="H25" s="20" t="s">
        <v>25</v>
      </c>
      <c r="I25" s="17" t="s">
        <v>72</v>
      </c>
      <c r="J25" s="17" t="s">
        <v>713</v>
      </c>
      <c r="K25" s="17" t="s">
        <v>73</v>
      </c>
      <c r="L25" s="17" t="s">
        <v>2294</v>
      </c>
      <c r="M25" s="17" t="s">
        <v>2295</v>
      </c>
      <c r="N25" s="17" t="s">
        <v>2296</v>
      </c>
      <c r="O25" s="17" t="s">
        <v>2297</v>
      </c>
      <c r="P25" s="17" t="s">
        <v>2298</v>
      </c>
      <c r="Q25" s="17" t="s">
        <v>2299</v>
      </c>
      <c r="R25" s="16" t="s">
        <v>65</v>
      </c>
      <c r="S25" s="16"/>
      <c r="T25" s="19" t="s">
        <v>2300</v>
      </c>
      <c r="U25" s="19" t="s">
        <v>67</v>
      </c>
    </row>
    <row r="26" customFormat="false" ht="96" hidden="false" customHeight="true" outlineLevel="0" collapsed="false">
      <c r="A26" s="16" t="n">
        <v>22</v>
      </c>
      <c r="B26" s="16" t="s">
        <v>2368</v>
      </c>
      <c r="C26" s="17" t="s">
        <v>2369</v>
      </c>
      <c r="D26" s="17" t="s">
        <v>2370</v>
      </c>
      <c r="E26" s="16" t="n">
        <v>2016</v>
      </c>
      <c r="F26" s="17" t="s">
        <v>2371</v>
      </c>
      <c r="G26" s="16" t="s">
        <v>162</v>
      </c>
      <c r="H26" s="20" t="s">
        <v>25</v>
      </c>
      <c r="I26" s="17" t="s">
        <v>72</v>
      </c>
      <c r="J26" s="17" t="s">
        <v>2372</v>
      </c>
      <c r="K26" s="17" t="s">
        <v>1109</v>
      </c>
      <c r="L26" s="17" t="s">
        <v>2373</v>
      </c>
      <c r="M26" s="17" t="s">
        <v>2374</v>
      </c>
      <c r="N26" s="17" t="s">
        <v>2375</v>
      </c>
      <c r="O26" s="17" t="s">
        <v>76</v>
      </c>
      <c r="P26" s="17" t="s">
        <v>2376</v>
      </c>
      <c r="Q26" s="17" t="s">
        <v>2377</v>
      </c>
      <c r="R26" s="16" t="s">
        <v>65</v>
      </c>
      <c r="S26" s="16"/>
      <c r="T26" s="19" t="s">
        <v>2378</v>
      </c>
      <c r="U26" s="19" t="s">
        <v>67</v>
      </c>
    </row>
    <row r="27" customFormat="false" ht="96" hidden="false" customHeight="true" outlineLevel="0" collapsed="false">
      <c r="A27" s="16" t="n">
        <v>23</v>
      </c>
      <c r="B27" s="16" t="s">
        <v>2438</v>
      </c>
      <c r="C27" s="17" t="s">
        <v>2439</v>
      </c>
      <c r="D27" s="17" t="s">
        <v>2440</v>
      </c>
      <c r="E27" s="16" t="n">
        <v>2015</v>
      </c>
      <c r="F27" s="17" t="s">
        <v>2441</v>
      </c>
      <c r="G27" s="16" t="s">
        <v>84</v>
      </c>
      <c r="H27" s="20" t="s">
        <v>25</v>
      </c>
      <c r="I27" s="17" t="s">
        <v>72</v>
      </c>
      <c r="J27" s="17" t="s">
        <v>713</v>
      </c>
      <c r="K27" s="17" t="s">
        <v>73</v>
      </c>
      <c r="L27" s="17" t="s">
        <v>2442</v>
      </c>
      <c r="M27" s="17" t="s">
        <v>2443</v>
      </c>
      <c r="N27" s="17" t="s">
        <v>2444</v>
      </c>
      <c r="O27" s="17" t="s">
        <v>2445</v>
      </c>
      <c r="P27" s="17" t="s">
        <v>2446</v>
      </c>
      <c r="Q27" s="17" t="s">
        <v>2447</v>
      </c>
      <c r="R27" s="16" t="s">
        <v>65</v>
      </c>
      <c r="S27" s="16"/>
      <c r="T27" s="19" t="s">
        <v>2448</v>
      </c>
      <c r="U27" s="19" t="s">
        <v>67</v>
      </c>
    </row>
  </sheetData>
  <autoFilter ref="A4:U27"/>
  <hyperlinks>
    <hyperlink ref="T5" r:id="rId1" display="https://arxiv.org/abs/2608.04314"/>
    <hyperlink ref="U5" r:id="rId2" display="Search"/>
    <hyperlink ref="S6" r:id="rId3" display="https://arxiv.org/abs/2603.13121"/>
    <hyperlink ref="T6" r:id="rId4" display="https://arxiv.org/abs/2603.13121"/>
    <hyperlink ref="U6" r:id="rId5" display="Search"/>
    <hyperlink ref="T7" r:id="rId6" display="https://arxiv.org/abs/2607.25926"/>
    <hyperlink ref="U7" r:id="rId7" display="Search"/>
    <hyperlink ref="T8" r:id="rId8" display="https://arxiv.org/abs/2412.15228"/>
    <hyperlink ref="U8" r:id="rId9" display="Search"/>
    <hyperlink ref="T9" r:id="rId10" display="https://doi.org/10.1016/j.cosrev.2025.100785"/>
    <hyperlink ref="U9" r:id="rId11" display="Search"/>
    <hyperlink ref="T10" r:id="rId12" display="https://arxiv.org/abs/2303.16552"/>
    <hyperlink ref="U10" r:id="rId13" display="Search"/>
    <hyperlink ref="T11" r:id="rId14" display="https://arxiv.org/abs/2411.09863"/>
    <hyperlink ref="U11" r:id="rId15" display="Search"/>
    <hyperlink ref="T12" r:id="rId16" display="https://arxiv.org/abs/2007.07646"/>
    <hyperlink ref="U12" r:id="rId17" display="Search"/>
    <hyperlink ref="T13" r:id="rId18" display="https://arxiv.org/abs/2112.04558"/>
    <hyperlink ref="U13" r:id="rId19" display="Search"/>
    <hyperlink ref="T14" r:id="rId20" display="https://www.penguinrandomhouse.com/books/705578/your-face-belongs-to-us-by-kashmir-hill/"/>
    <hyperlink ref="U14" r:id="rId21" display="Search"/>
    <hyperlink ref="T15" r:id="rId22" display="https://arxiv.org/abs/2102.00813"/>
    <hyperlink ref="U15" r:id="rId23" display="Search"/>
    <hyperlink ref="T16" r:id="rId24" display="https://exposing.ai"/>
    <hyperlink ref="U16" r:id="rId25" display="Search"/>
    <hyperlink ref="T17" r:id="rId26" display="https://arxiv.org/abs/2006.16923"/>
    <hyperlink ref="U17" r:id="rId27" display="Search"/>
    <hyperlink ref="T18" r:id="rId28" display="https://doi.org/10.1109/TIFS.2021.3096024"/>
    <hyperlink ref="U18" r:id="rId29" display="Search"/>
    <hyperlink ref="T19" r:id="rId30" display="https://www.ajl.org/federal-office-call"/>
    <hyperlink ref="U19" r:id="rId31" display="Search"/>
    <hyperlink ref="T20" r:id="rId32" display="https://doi.org/10.6028/NIST.IR.8331"/>
    <hyperlink ref="U20" r:id="rId33" display="Search"/>
    <hyperlink ref="T21" r:id="rId34" display="https://www.nytimes.com/2020/01/18/technology/clearview-privacy-facial-recognition.html"/>
    <hyperlink ref="U21" r:id="rId35" display="Search"/>
    <hyperlink ref="T22" r:id="rId36" display="https://doi.org/10.1145/3306618.3314244"/>
    <hyperlink ref="U22" r:id="rId37" display="Search"/>
    <hyperlink ref="T23" r:id="rId38" display="https://doi.org/10.6028/NIST.IR.8280"/>
    <hyperlink ref="U23" r:id="rId39" display="Search"/>
    <hyperlink ref="T24" r:id="rId40" display="https://proceedings.mlr.press/v81/buolamwini18a.html"/>
    <hyperlink ref="U24" r:id="rId41" display="Search"/>
    <hyperlink ref="T25" r:id="rId42" display="https://doi.org/10.1016/j.image.2016.05.020"/>
    <hyperlink ref="U25" r:id="rId43" display="Search"/>
    <hyperlink ref="T26" r:id="rId44" display="https://www.perpetuallineup.org"/>
    <hyperlink ref="U26" r:id="rId45" display="Search"/>
    <hyperlink ref="T27" r:id="rId46" display="https://doi.org/10.1016/j.eswa.2015.01.041"/>
    <hyperlink ref="U27" r:id="rId47" display="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8"/>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 min="3" style="0" width="22"/>
    <col collapsed="false" customWidth="true" hidden="false" outlineLevel="0" max="4" min="4" style="0" width="46"/>
    <col collapsed="false" customWidth="true" hidden="false" outlineLevel="0" max="5" min="5" style="0" width="9"/>
    <col collapsed="false" customWidth="true" hidden="false" outlineLevel="0" max="6" min="6" style="0" width="22"/>
    <col collapsed="false" customWidth="true" hidden="false" outlineLevel="0" max="7" min="7" style="0" width="60"/>
    <col collapsed="false" customWidth="true" hidden="false" outlineLevel="0" max="8" min="8" style="0" width="36"/>
  </cols>
  <sheetData>
    <row r="1" customFormat="false" ht="15" hidden="false" customHeight="false" outlineLevel="0" collapsed="false">
      <c r="A1" s="40" t="s">
        <v>2719</v>
      </c>
      <c r="B1" s="40" t="s">
        <v>2720</v>
      </c>
      <c r="C1" s="40" t="s">
        <v>2721</v>
      </c>
      <c r="D1" s="40" t="s">
        <v>2722</v>
      </c>
      <c r="E1" s="40" t="s">
        <v>2723</v>
      </c>
      <c r="F1" s="40" t="s">
        <v>2724</v>
      </c>
      <c r="G1" s="40" t="s">
        <v>2725</v>
      </c>
      <c r="H1" s="40" t="s">
        <v>2726</v>
      </c>
    </row>
    <row r="2" customFormat="false" ht="15" hidden="false" customHeight="false" outlineLevel="0" collapsed="false">
      <c r="A2" s="17" t="s">
        <v>2727</v>
      </c>
      <c r="B2" s="17"/>
      <c r="C2" s="17"/>
      <c r="D2" s="17" t="s">
        <v>2326</v>
      </c>
      <c r="E2" s="17" t="n">
        <v>2016</v>
      </c>
      <c r="F2" s="17" t="s">
        <v>71</v>
      </c>
      <c r="G2" s="17" t="s">
        <v>2728</v>
      </c>
      <c r="H2" s="41" t="s">
        <v>2335</v>
      </c>
    </row>
    <row r="3" customFormat="false" ht="15" hidden="false" customHeight="false" outlineLevel="0" collapsed="false">
      <c r="A3" s="17" t="s">
        <v>2729</v>
      </c>
      <c r="B3" s="17"/>
      <c r="C3" s="17"/>
      <c r="D3" s="17" t="s">
        <v>2337</v>
      </c>
      <c r="E3" s="17" t="n">
        <v>2016</v>
      </c>
      <c r="F3" s="17" t="s">
        <v>350</v>
      </c>
      <c r="G3" s="17" t="s">
        <v>2730</v>
      </c>
      <c r="H3" s="41" t="s">
        <v>2345</v>
      </c>
    </row>
    <row r="4" customFormat="false" ht="15" hidden="false" customHeight="false" outlineLevel="0" collapsed="false">
      <c r="A4" s="17" t="s">
        <v>1785</v>
      </c>
      <c r="B4" s="17" t="n">
        <v>2020</v>
      </c>
      <c r="C4" s="17" t="s">
        <v>883</v>
      </c>
      <c r="D4" s="17" t="s">
        <v>1608</v>
      </c>
      <c r="E4" s="17" t="n">
        <v>2021</v>
      </c>
      <c r="F4" s="17" t="s">
        <v>1610</v>
      </c>
      <c r="G4" s="17" t="s">
        <v>2731</v>
      </c>
      <c r="H4" s="41" t="s">
        <v>1618</v>
      </c>
    </row>
    <row r="5" customFormat="false" ht="15" hidden="false" customHeight="false" outlineLevel="0" collapsed="false">
      <c r="A5" s="17" t="s">
        <v>1785</v>
      </c>
      <c r="B5" s="17" t="n">
        <v>2020</v>
      </c>
      <c r="C5" s="17" t="s">
        <v>883</v>
      </c>
      <c r="D5" s="17" t="s">
        <v>1194</v>
      </c>
      <c r="E5" s="17" t="n">
        <v>2022</v>
      </c>
      <c r="F5" s="17" t="s">
        <v>327</v>
      </c>
      <c r="G5" s="17" t="s">
        <v>2732</v>
      </c>
      <c r="H5" s="41" t="s">
        <v>1204</v>
      </c>
    </row>
    <row r="6" customFormat="false" ht="15" hidden="false" customHeight="false" outlineLevel="0" collapsed="false">
      <c r="A6" s="17" t="s">
        <v>1559</v>
      </c>
      <c r="B6" s="17" t="n">
        <v>2021</v>
      </c>
      <c r="C6" s="17" t="s">
        <v>327</v>
      </c>
      <c r="D6" s="17" t="s">
        <v>1194</v>
      </c>
      <c r="E6" s="17" t="n">
        <v>2022</v>
      </c>
      <c r="F6" s="17" t="s">
        <v>327</v>
      </c>
      <c r="G6" s="17" t="s">
        <v>2733</v>
      </c>
      <c r="H6" s="41" t="s">
        <v>1204</v>
      </c>
    </row>
    <row r="7" customFormat="false" ht="15" hidden="false" customHeight="false" outlineLevel="0" collapsed="false">
      <c r="A7" s="17" t="s">
        <v>1700</v>
      </c>
      <c r="B7" s="17" t="n">
        <v>2021</v>
      </c>
      <c r="C7" s="17" t="s">
        <v>605</v>
      </c>
      <c r="D7" s="17" t="s">
        <v>949</v>
      </c>
      <c r="E7" s="17" t="n">
        <v>2023</v>
      </c>
      <c r="F7" s="17" t="s">
        <v>675</v>
      </c>
      <c r="G7" s="17" t="s">
        <v>2734</v>
      </c>
      <c r="H7" s="41" t="s">
        <v>958</v>
      </c>
    </row>
    <row r="8" customFormat="false" ht="15" hidden="false" customHeight="false" outlineLevel="0" collapsed="false">
      <c r="A8" s="17" t="s">
        <v>1700</v>
      </c>
      <c r="B8" s="17" t="n">
        <v>2021</v>
      </c>
      <c r="C8" s="17" t="s">
        <v>605</v>
      </c>
      <c r="D8" s="17" t="s">
        <v>628</v>
      </c>
      <c r="E8" s="17" t="n">
        <v>2024</v>
      </c>
      <c r="F8" s="17" t="s">
        <v>630</v>
      </c>
      <c r="G8" s="17" t="s">
        <v>2735</v>
      </c>
      <c r="H8" s="41" t="s">
        <v>638</v>
      </c>
    </row>
    <row r="9" customFormat="false" ht="15" hidden="false" customHeight="false" outlineLevel="0" collapsed="false">
      <c r="A9" s="17" t="s">
        <v>687</v>
      </c>
      <c r="B9" s="17" t="n">
        <v>2023</v>
      </c>
      <c r="C9" s="17" t="s">
        <v>661</v>
      </c>
      <c r="D9" s="17" t="s">
        <v>362</v>
      </c>
      <c r="E9" s="17" t="n">
        <v>2024</v>
      </c>
      <c r="F9" s="17" t="s">
        <v>209</v>
      </c>
      <c r="G9" s="17" t="s">
        <v>2736</v>
      </c>
      <c r="H9" s="41" t="s">
        <v>372</v>
      </c>
    </row>
    <row r="10" customFormat="false" ht="15" hidden="false" customHeight="false" outlineLevel="0" collapsed="false">
      <c r="A10" s="17" t="s">
        <v>1016</v>
      </c>
      <c r="B10" s="17" t="n">
        <v>2023</v>
      </c>
      <c r="C10" s="17" t="s">
        <v>675</v>
      </c>
      <c r="D10" s="17" t="s">
        <v>938</v>
      </c>
      <c r="E10" s="17" t="n">
        <v>2023</v>
      </c>
      <c r="F10" s="17" t="s">
        <v>907</v>
      </c>
      <c r="G10" s="17" t="s">
        <v>2737</v>
      </c>
      <c r="H10" s="41" t="s">
        <v>947</v>
      </c>
    </row>
    <row r="11" customFormat="false" ht="15" hidden="false" customHeight="false" outlineLevel="0" collapsed="false">
      <c r="A11" s="17" t="s">
        <v>915</v>
      </c>
      <c r="B11" s="17" t="n">
        <v>2023</v>
      </c>
      <c r="C11" s="17" t="s">
        <v>883</v>
      </c>
      <c r="D11" s="17" t="s">
        <v>145</v>
      </c>
      <c r="E11" s="17" t="n">
        <v>2025</v>
      </c>
      <c r="F11" s="17" t="s">
        <v>147</v>
      </c>
      <c r="G11" s="17" t="s">
        <v>2738</v>
      </c>
      <c r="H11" s="41" t="s">
        <v>157</v>
      </c>
    </row>
    <row r="12" customFormat="false" ht="15" hidden="false" customHeight="false" outlineLevel="0" collapsed="false">
      <c r="A12" s="17" t="s">
        <v>2739</v>
      </c>
      <c r="B12" s="17"/>
      <c r="C12" s="17"/>
      <c r="D12" s="17" t="s">
        <v>628</v>
      </c>
      <c r="E12" s="17" t="n">
        <v>2024</v>
      </c>
      <c r="F12" s="17" t="s">
        <v>630</v>
      </c>
      <c r="G12" s="17" t="s">
        <v>2740</v>
      </c>
      <c r="H12" s="41" t="s">
        <v>638</v>
      </c>
    </row>
    <row r="13" customFormat="false" ht="15" hidden="false" customHeight="false" outlineLevel="0" collapsed="false">
      <c r="A13" s="17" t="s">
        <v>1807</v>
      </c>
      <c r="B13" s="17" t="n">
        <v>2020</v>
      </c>
      <c r="C13" s="17" t="s">
        <v>675</v>
      </c>
      <c r="D13" s="17" t="s">
        <v>1526</v>
      </c>
      <c r="E13" s="17" t="n">
        <v>2021</v>
      </c>
      <c r="F13" s="17" t="s">
        <v>557</v>
      </c>
      <c r="G13" s="17" t="s">
        <v>2741</v>
      </c>
      <c r="H13" s="41" t="s">
        <v>1535</v>
      </c>
    </row>
    <row r="14" customFormat="false" ht="15" hidden="false" customHeight="false" outlineLevel="0" collapsed="false">
      <c r="A14" s="17" t="s">
        <v>2742</v>
      </c>
      <c r="B14" s="17"/>
      <c r="C14" s="17"/>
      <c r="D14" s="17" t="s">
        <v>2024</v>
      </c>
      <c r="E14" s="17" t="n">
        <v>2019</v>
      </c>
      <c r="F14" s="17" t="s">
        <v>772</v>
      </c>
      <c r="G14" s="17" t="s">
        <v>2743</v>
      </c>
      <c r="H14" s="41" t="s">
        <v>2033</v>
      </c>
    </row>
    <row r="15" customFormat="false" ht="15" hidden="false" customHeight="false" outlineLevel="0" collapsed="false">
      <c r="A15" s="17" t="s">
        <v>1380</v>
      </c>
      <c r="B15" s="17" t="n">
        <v>2022</v>
      </c>
      <c r="C15" s="17" t="s">
        <v>1163</v>
      </c>
      <c r="D15" s="17" t="s">
        <v>53</v>
      </c>
      <c r="E15" s="17" t="n">
        <v>2026</v>
      </c>
      <c r="F15" s="17" t="s">
        <v>55</v>
      </c>
      <c r="G15" s="17" t="s">
        <v>2744</v>
      </c>
      <c r="H15" s="41" t="s">
        <v>66</v>
      </c>
    </row>
    <row r="16" customFormat="false" ht="15" hidden="false" customHeight="false" outlineLevel="0" collapsed="false">
      <c r="A16" s="17" t="s">
        <v>1006</v>
      </c>
      <c r="B16" s="17" t="n">
        <v>2023</v>
      </c>
      <c r="C16" s="17" t="s">
        <v>661</v>
      </c>
      <c r="D16" s="17" t="s">
        <v>112</v>
      </c>
      <c r="E16" s="17" t="n">
        <v>2026</v>
      </c>
      <c r="F16" s="17" t="s">
        <v>71</v>
      </c>
      <c r="G16" s="17" t="s">
        <v>2745</v>
      </c>
      <c r="H16" s="41" t="s">
        <v>121</v>
      </c>
    </row>
    <row r="17" customFormat="false" ht="15" hidden="false" customHeight="false" outlineLevel="0" collapsed="false">
      <c r="A17" s="17" t="s">
        <v>1887</v>
      </c>
      <c r="B17" s="17" t="n">
        <v>2020</v>
      </c>
      <c r="C17" s="17" t="s">
        <v>1889</v>
      </c>
      <c r="D17" s="17" t="s">
        <v>1161</v>
      </c>
      <c r="E17" s="17" t="n">
        <v>2022</v>
      </c>
      <c r="F17" s="17" t="s">
        <v>1163</v>
      </c>
      <c r="G17" s="17" t="s">
        <v>2746</v>
      </c>
      <c r="H17" s="41" t="s">
        <v>1171</v>
      </c>
    </row>
    <row r="18" customFormat="false" ht="15" hidden="false" customHeight="false" outlineLevel="0" collapsed="false">
      <c r="A18" s="17" t="s">
        <v>2747</v>
      </c>
      <c r="B18" s="17"/>
      <c r="C18" s="17"/>
      <c r="D18" s="17" t="s">
        <v>443</v>
      </c>
      <c r="E18" s="17" t="n">
        <v>2024</v>
      </c>
      <c r="F18" s="17" t="s">
        <v>445</v>
      </c>
      <c r="G18" s="17" t="s">
        <v>2748</v>
      </c>
      <c r="H18" s="41" t="s">
        <v>454</v>
      </c>
    </row>
    <row r="19" customFormat="false" ht="15" hidden="false" customHeight="false" outlineLevel="0" collapsed="false">
      <c r="A19" s="17" t="s">
        <v>2749</v>
      </c>
      <c r="B19" s="17"/>
      <c r="C19" s="17"/>
      <c r="D19" s="17" t="s">
        <v>1368</v>
      </c>
      <c r="E19" s="17" t="n">
        <v>2022</v>
      </c>
      <c r="F19" s="17" t="s">
        <v>1277</v>
      </c>
      <c r="G19" s="17" t="s">
        <v>2750</v>
      </c>
      <c r="H19" s="41" t="s">
        <v>1378</v>
      </c>
    </row>
    <row r="20" customFormat="false" ht="15" hidden="false" customHeight="false" outlineLevel="0" collapsed="false">
      <c r="A20" s="17" t="s">
        <v>1763</v>
      </c>
      <c r="B20" s="17" t="n">
        <v>2020</v>
      </c>
      <c r="C20" s="17" t="s">
        <v>209</v>
      </c>
      <c r="D20" s="17" t="s">
        <v>881</v>
      </c>
      <c r="E20" s="17" t="n">
        <v>2023</v>
      </c>
      <c r="F20" s="17" t="s">
        <v>883</v>
      </c>
      <c r="G20" s="17" t="s">
        <v>2751</v>
      </c>
      <c r="H20" s="41" t="s">
        <v>892</v>
      </c>
    </row>
  </sheetData>
  <hyperlinks>
    <hyperlink ref="H2" r:id="rId1" display="https://arxiv.org/abs/1609.00408"/>
    <hyperlink ref="H3" r:id="rId2" display="https://arxiv.org/abs/1607.08438"/>
    <hyperlink ref="H4" r:id="rId3" display="https://arxiv.org/abs/2102.11502"/>
    <hyperlink ref="H5" r:id="rId4" display="https://arxiv.org/abs/2106.14851"/>
    <hyperlink ref="H6" r:id="rId5" display="https://arxiv.org/abs/2106.14851"/>
    <hyperlink ref="H7" r:id="rId6" display="https://arxiv.org/abs/2301.13838"/>
    <hyperlink ref="H8" r:id="rId7" display="https://arxiv.org/abs/2303.08500"/>
    <hyperlink ref="H9" r:id="rId8" display="https://arxiv.org/abs/2312.00084"/>
    <hyperlink ref="H10" r:id="rId9" display="https://arxiv.org/abs/2310.19248"/>
    <hyperlink ref="H11" r:id="rId10" display="https://arxiv.org/abs/2406.12027"/>
    <hyperlink ref="H12" r:id="rId11" display="https://arxiv.org/abs/2303.08500"/>
    <hyperlink ref="H13" r:id="rId12" display="https://arxiv.org/abs/2011.05315"/>
    <hyperlink ref="H14" r:id="rId13" display="https://arxiv.org/abs/1703.00832"/>
    <hyperlink ref="H15" r:id="rId14" display="https://arxiv.org/abs/2605.03857"/>
    <hyperlink ref="H16" r:id="rId15" display="https://arxiv.org/abs/2602.02914"/>
    <hyperlink ref="H17" r:id="rId16" display="https://arxiv.org/abs/2111.12405"/>
    <hyperlink ref="H18" r:id="rId17" display="https://arxiv.org/abs/2210.10651"/>
    <hyperlink ref="H19" r:id="rId18" display="https://arxiv.org/abs/2206.10520"/>
    <hyperlink ref="H20" r:id="rId19" display="https://arxiv.org/abs/2304.02782"/>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8"/>
  </cols>
  <sheetData>
    <row r="1" customFormat="false" ht="15" hidden="false" customHeight="false" outlineLevel="0" collapsed="false">
      <c r="A1" s="13" t="s">
        <v>2752</v>
      </c>
    </row>
    <row r="2" customFormat="false" ht="15" hidden="false" customHeight="false" outlineLevel="0" collapsed="false">
      <c r="A2" s="14" t="s">
        <v>2753</v>
      </c>
    </row>
    <row r="4" customFormat="false" ht="15" hidden="false" customHeight="false" outlineLevel="0" collapsed="false">
      <c r="A4" s="40" t="s">
        <v>2754</v>
      </c>
      <c r="B4" s="40" t="s">
        <v>2755</v>
      </c>
      <c r="C4" s="40" t="s">
        <v>2756</v>
      </c>
    </row>
    <row r="5" customFormat="false" ht="15" hidden="false" customHeight="false" outlineLevel="0" collapsed="false">
      <c r="A5" s="39" t="s">
        <v>1980</v>
      </c>
      <c r="B5" s="39" t="n">
        <f aca="false">COUNTIF('All papers'!$J$5:$J$229,"*LFW*")</f>
        <v>71</v>
      </c>
      <c r="C5" s="42" t="n">
        <f aca="false">IF(COUNTA('All papers'!$H$5:$H$229)=0,0,B5/COUNTA('All papers'!$H$5:$H$229))</f>
        <v>0.315555555555555</v>
      </c>
    </row>
    <row r="6" customFormat="false" ht="15" hidden="false" customHeight="false" outlineLevel="0" collapsed="false">
      <c r="A6" s="39" t="s">
        <v>1222</v>
      </c>
      <c r="B6" s="39" t="n">
        <f aca="false">COUNTIF('All papers'!$J$5:$J$229,"*CelebA*")</f>
        <v>62</v>
      </c>
      <c r="C6" s="42" t="n">
        <f aca="false">IF(COUNTA('All papers'!$H$5:$H$229)=0,0,B6/COUNTA('All papers'!$H$5:$H$229))</f>
        <v>0.275555555555556</v>
      </c>
    </row>
    <row r="7" customFormat="false" ht="15" hidden="false" customHeight="false" outlineLevel="0" collapsed="false">
      <c r="A7" s="39" t="s">
        <v>126</v>
      </c>
      <c r="B7" s="39" t="n">
        <f aca="false">COUNTIF('All papers'!$J$5:$J$229,"*CelebA-HQ*")</f>
        <v>39</v>
      </c>
      <c r="C7" s="42" t="n">
        <f aca="false">IF(COUNTA('All papers'!$H$5:$H$229)=0,0,B7/COUNTA('All papers'!$H$5:$H$229))</f>
        <v>0.173333333333333</v>
      </c>
    </row>
    <row r="8" customFormat="false" ht="15" hidden="false" customHeight="false" outlineLevel="0" collapsed="false">
      <c r="A8" s="39" t="s">
        <v>2757</v>
      </c>
      <c r="B8" s="39" t="n">
        <f aca="false">COUNTIF('All papers'!$J$5:$J$229,"*FFHQ*")</f>
        <v>19</v>
      </c>
      <c r="C8" s="42" t="n">
        <f aca="false">IF(COUNTA('All papers'!$H$5:$H$229)=0,0,B8/COUNTA('All papers'!$H$5:$H$229))</f>
        <v>0.0844444444444444</v>
      </c>
    </row>
    <row r="9" customFormat="false" ht="15" hidden="false" customHeight="false" outlineLevel="0" collapsed="false">
      <c r="A9" s="39" t="s">
        <v>2758</v>
      </c>
      <c r="B9" s="39" t="n">
        <f aca="false">COUNTIF('All papers'!$J$5:$J$229,"*VGGFace2*")</f>
        <v>17</v>
      </c>
      <c r="C9" s="42" t="n">
        <f aca="false">IF(COUNTA('All papers'!$H$5:$H$229)=0,0,B9/COUNTA('All papers'!$H$5:$H$229))</f>
        <v>0.0755555555555556</v>
      </c>
    </row>
    <row r="10" customFormat="false" ht="15" hidden="false" customHeight="false" outlineLevel="0" collapsed="false">
      <c r="A10" s="39" t="s">
        <v>2759</v>
      </c>
      <c r="B10" s="39" t="n">
        <f aca="false">COUNTIF('All papers'!$J$5:$J$229,"*CASIA-WebFace*")</f>
        <v>16</v>
      </c>
      <c r="C10" s="42" t="n">
        <f aca="false">IF(COUNTA('All papers'!$H$5:$H$229)=0,0,B10/COUNTA('All papers'!$H$5:$H$229))</f>
        <v>0.0711111111111111</v>
      </c>
    </row>
    <row r="11" customFormat="false" ht="15" hidden="false" customHeight="false" outlineLevel="0" collapsed="false">
      <c r="A11" s="39" t="s">
        <v>2760</v>
      </c>
      <c r="B11" s="39" t="n">
        <f aca="false">COUNTIF('All papers'!$J$5:$J$229,"*MS1M*")</f>
        <v>6</v>
      </c>
      <c r="C11" s="42" t="n">
        <f aca="false">IF(COUNTA('All papers'!$H$5:$H$229)=0,0,B11/COUNTA('All papers'!$H$5:$H$229))</f>
        <v>0.0266666666666667</v>
      </c>
    </row>
    <row r="12" customFormat="false" ht="15" hidden="false" customHeight="false" outlineLevel="0" collapsed="false">
      <c r="A12" s="39" t="s">
        <v>2761</v>
      </c>
      <c r="B12" s="39" t="n">
        <f aca="false">COUNTIF('All papers'!$J$5:$J$229,"*WebFace*")</f>
        <v>22</v>
      </c>
      <c r="C12" s="42" t="n">
        <f aca="false">IF(COUNTA('All papers'!$H$5:$H$229)=0,0,B12/COUNTA('All papers'!$H$5:$H$229))</f>
        <v>0.0977777777777778</v>
      </c>
    </row>
    <row r="13" customFormat="false" ht="15" hidden="false" customHeight="false" outlineLevel="0" collapsed="false">
      <c r="A13" s="39" t="s">
        <v>2762</v>
      </c>
      <c r="B13" s="39" t="n">
        <f aca="false">COUNTIF('All papers'!$J$5:$J$229,"*FaceScrub*")</f>
        <v>6</v>
      </c>
      <c r="C13" s="42" t="n">
        <f aca="false">IF(COUNTA('All papers'!$H$5:$H$229)=0,0,B13/COUNTA('All papers'!$H$5:$H$229))</f>
        <v>0.0266666666666667</v>
      </c>
    </row>
    <row r="14" customFormat="false" ht="15" hidden="false" customHeight="false" outlineLevel="0" collapsed="false">
      <c r="A14" s="39" t="s">
        <v>2763</v>
      </c>
      <c r="B14" s="39" t="n">
        <f aca="false">COUNTIF('All papers'!$J$5:$J$229,"*PubFig*")</f>
        <v>5</v>
      </c>
      <c r="C14" s="42" t="n">
        <f aca="false">IF(COUNTA('All papers'!$H$5:$H$229)=0,0,B14/COUNTA('All papers'!$H$5:$H$229))</f>
        <v>0.0222222222222222</v>
      </c>
    </row>
    <row r="15" customFormat="false" ht="15" hidden="false" customHeight="false" outlineLevel="0" collapsed="false">
      <c r="A15" s="39" t="s">
        <v>2223</v>
      </c>
      <c r="B15" s="39" t="n">
        <f aca="false">COUNTIF('All papers'!$J$5:$J$229,"*PIPA*")</f>
        <v>4</v>
      </c>
      <c r="C15" s="42" t="n">
        <f aca="false">IF(COUNTA('All papers'!$H$5:$H$229)=0,0,B15/COUNTA('All papers'!$H$5:$H$229))</f>
        <v>0.0177777777777778</v>
      </c>
    </row>
    <row r="16" customFormat="false" ht="15" hidden="false" customHeight="false" outlineLevel="0" collapsed="false">
      <c r="A16" s="39" t="s">
        <v>2600</v>
      </c>
      <c r="B16" s="39" t="n">
        <f aca="false">COUNTIF('All papers'!$J$5:$J$229,"*FERET*")</f>
        <v>13</v>
      </c>
      <c r="C16" s="42" t="n">
        <f aca="false">IF(COUNTA('All papers'!$H$5:$H$229)=0,0,B16/COUNTA('All papers'!$H$5:$H$229))</f>
        <v>0.0577777777777778</v>
      </c>
    </row>
    <row r="17" customFormat="false" ht="15" hidden="false" customHeight="false" outlineLevel="0" collapsed="false">
      <c r="A17" s="39" t="s">
        <v>2764</v>
      </c>
      <c r="B17" s="39" t="n">
        <f aca="false">COUNTIF('All papers'!$J$5:$J$229,"*FRGCv2*")</f>
        <v>3</v>
      </c>
      <c r="C17" s="42" t="n">
        <f aca="false">IF(COUNTA('All papers'!$H$5:$H$229)=0,0,B17/COUNTA('All papers'!$H$5:$H$229))</f>
        <v>0.0133333333333333</v>
      </c>
    </row>
    <row r="18" customFormat="false" ht="15" hidden="false" customHeight="false" outlineLevel="0" collapsed="false">
      <c r="A18" s="39" t="s">
        <v>2765</v>
      </c>
      <c r="B18" s="39" t="n">
        <f aca="false">COUNTIF('All papers'!$J$5:$J$229,"*MOBIO*")</f>
        <v>7</v>
      </c>
      <c r="C18" s="42" t="n">
        <f aca="false">IF(COUNTA('All papers'!$H$5:$H$229)=0,0,B18/COUNTA('All papers'!$H$5:$H$229))</f>
        <v>0.0311111111111111</v>
      </c>
    </row>
    <row r="19" customFormat="false" ht="15" hidden="false" customHeight="false" outlineLevel="0" collapsed="false">
      <c r="A19" s="39" t="s">
        <v>2766</v>
      </c>
      <c r="B19" s="39" t="n">
        <f aca="false">COUNTIF('All papers'!$J$5:$J$229,"*AgeDB*")</f>
        <v>20</v>
      </c>
      <c r="C19" s="42" t="n">
        <f aca="false">IF(COUNTA('All papers'!$H$5:$H$229)=0,0,B19/COUNTA('All papers'!$H$5:$H$229))</f>
        <v>0.0888888888888889</v>
      </c>
    </row>
    <row r="20" customFormat="false" ht="15" hidden="false" customHeight="false" outlineLevel="0" collapsed="false">
      <c r="A20" s="39" t="s">
        <v>2767</v>
      </c>
      <c r="B20" s="39" t="n">
        <f aca="false">COUNTIF('All papers'!$J$5:$J$229,"*CFP-FP*")</f>
        <v>15</v>
      </c>
      <c r="C20" s="42" t="n">
        <f aca="false">IF(COUNTA('All papers'!$H$5:$H$229)=0,0,B20/COUNTA('All papers'!$H$5:$H$229))</f>
        <v>0.0666666666666667</v>
      </c>
    </row>
    <row r="21" customFormat="false" ht="15" hidden="false" customHeight="false" outlineLevel="0" collapsed="false">
      <c r="A21" s="39" t="s">
        <v>2768</v>
      </c>
      <c r="B21" s="39" t="n">
        <f aca="false">COUNTIF('All papers'!$J$5:$J$229,"*IJB*")</f>
        <v>12</v>
      </c>
      <c r="C21" s="42" t="n">
        <f aca="false">IF(COUNTA('All papers'!$H$5:$H$229)=0,0,B21/COUNTA('All papers'!$H$5:$H$229))</f>
        <v>0.0533333333333333</v>
      </c>
    </row>
    <row r="22" customFormat="false" ht="15" hidden="false" customHeight="false" outlineLevel="0" collapsed="false">
      <c r="A22" s="39" t="s">
        <v>2769</v>
      </c>
      <c r="B22" s="39" t="n">
        <f aca="false">COUNTIF('All papers'!$J$5:$J$229,"*MORPH*")</f>
        <v>4</v>
      </c>
      <c r="C22" s="42" t="n">
        <f aca="false">IF(COUNTA('All papers'!$H$5:$H$229)=0,0,B22/COUNTA('All papers'!$H$5:$H$229))</f>
        <v>0.0177777777777778</v>
      </c>
    </row>
    <row r="23" customFormat="false" ht="15" hidden="false" customHeight="false" outlineLevel="0" collapsed="false">
      <c r="A23" s="39" t="s">
        <v>2770</v>
      </c>
      <c r="B23" s="39" t="n">
        <f aca="false">COUNTIF('All papers'!$J$5:$J$229,"*MUCT*")</f>
        <v>4</v>
      </c>
      <c r="C23" s="42" t="n">
        <f aca="false">IF(COUNTA('All papers'!$H$5:$H$229)=0,0,B23/COUNTA('All papers'!$H$5:$H$229))</f>
        <v>0.0177777777777778</v>
      </c>
    </row>
    <row r="24" customFormat="false" ht="15" hidden="false" customHeight="false" outlineLevel="0" collapsed="false">
      <c r="A24" s="39" t="s">
        <v>2771</v>
      </c>
      <c r="B24" s="39" t="n">
        <f aca="false">COUNTIF('All papers'!$J$5:$J$229,"*Adience*")</f>
        <v>4</v>
      </c>
      <c r="C24" s="42" t="n">
        <f aca="false">IF(COUNTA('All papers'!$H$5:$H$229)=0,0,B24/COUNTA('All papers'!$H$5:$H$229))</f>
        <v>0.0177777777777778</v>
      </c>
    </row>
    <row r="25" customFormat="false" ht="15" hidden="false" customHeight="false" outlineLevel="0" collapsed="false">
      <c r="A25" s="39" t="s">
        <v>2772</v>
      </c>
      <c r="B25" s="39" t="n">
        <f aca="false">COUNTIF('All papers'!$J$5:$J$229,"*CIFAR*")</f>
        <v>25</v>
      </c>
      <c r="C25" s="42" t="n">
        <f aca="false">IF(COUNTA('All papers'!$H$5:$H$229)=0,0,B25/COUNTA('All papers'!$H$5:$H$229))</f>
        <v>0.111111111111111</v>
      </c>
    </row>
    <row r="26" customFormat="false" ht="15" hidden="false" customHeight="false" outlineLevel="0" collapsed="false">
      <c r="A26" s="39" t="s">
        <v>2773</v>
      </c>
      <c r="B26" s="39" t="n">
        <f aca="false">COUNTIF('All papers'!$J$5:$J$229,"*ImageNet*")</f>
        <v>16</v>
      </c>
      <c r="C26" s="42" t="n">
        <f aca="false">IF(COUNTA('All papers'!$H$5:$H$229)=0,0,B26/COUNTA('All papers'!$H$5:$H$229))</f>
        <v>0.0711111111111111</v>
      </c>
    </row>
    <row r="27" customFormat="false" ht="15" hidden="false" customHeight="false" outlineLevel="0" collapsed="false">
      <c r="A27" s="39" t="s">
        <v>2774</v>
      </c>
      <c r="B27" s="39" t="n">
        <f aca="false">COUNTIF('All papers'!$J$5:$J$229,"*MNIST*")</f>
        <v>11</v>
      </c>
      <c r="C27" s="42" t="n">
        <f aca="false">IF(COUNTA('All papers'!$H$5:$H$229)=0,0,B27/COUNTA('All papers'!$H$5:$H$229))</f>
        <v>0.0488888888888889</v>
      </c>
    </row>
    <row r="28" customFormat="false" ht="15" hidden="false" customHeight="false" outlineLevel="0" collapsed="false">
      <c r="A28" s="39" t="s">
        <v>2775</v>
      </c>
      <c r="B28" s="39" t="n">
        <f aca="false">COUNTIF('All papers'!$J$5:$J$229,"*Multi-PIE*")</f>
        <v>4</v>
      </c>
      <c r="C28" s="42" t="n">
        <f aca="false">IF(COUNTA('All papers'!$H$5:$H$229)=0,0,B28/COUNTA('All papers'!$H$5:$H$229))</f>
        <v>0.0177777777777778</v>
      </c>
    </row>
    <row r="29" customFormat="false" ht="15" hidden="false" customHeight="false" outlineLevel="0" collapsed="false">
      <c r="A29" s="39" t="s">
        <v>962</v>
      </c>
      <c r="B29" s="39" t="n">
        <f aca="false">COUNTIF('All papers'!$J$5:$J$229,"*Cityscapes*")</f>
        <v>2</v>
      </c>
      <c r="C29" s="42" t="n">
        <f aca="false">IF(COUNTA('All papers'!$H$5:$H$229)=0,0,B29/COUNTA('All papers'!$H$5:$H$229))</f>
        <v>0.00888888888888889</v>
      </c>
    </row>
    <row r="30" customFormat="false" ht="15" hidden="false" customHeight="false" outlineLevel="0" collapsed="false">
      <c r="A30" s="39" t="s">
        <v>2776</v>
      </c>
      <c r="B30" s="39" t="n">
        <f aca="false">COUNTIF('All papers'!$J$5:$J$229,"*COCO*")</f>
        <v>3</v>
      </c>
      <c r="C30" s="42" t="n">
        <f aca="false">IF(COUNTA('All papers'!$H$5:$H$229)=0,0,B30/COUNTA('All papers'!$H$5:$H$229))</f>
        <v>0.0133333333333333</v>
      </c>
    </row>
    <row r="31" customFormat="false" ht="15" hidden="false" customHeight="false" outlineLevel="0" collapsed="false">
      <c r="A31" s="39" t="s">
        <v>2777</v>
      </c>
      <c r="B31" s="39" t="n">
        <f aca="false">COUNTIF('All papers'!$J$5:$J$229,"*WikiArt*")</f>
        <v>5</v>
      </c>
      <c r="C31" s="42" t="n">
        <f aca="false">IF(COUNTA('All papers'!$H$5:$H$229)=0,0,B31/COUNTA('All papers'!$H$5:$H$229))</f>
        <v>0.0222222222222222</v>
      </c>
    </row>
    <row r="32" customFormat="false" ht="15" hidden="false" customHeight="false" outlineLevel="0" collapsed="false">
      <c r="A32" s="39" t="s">
        <v>2778</v>
      </c>
      <c r="B32" s="39" t="n">
        <f aca="false">COUNTIF('All papers'!$J$5:$J$229,"*LADN*")</f>
        <v>6</v>
      </c>
      <c r="C32" s="42" t="n">
        <f aca="false">IF(COUNTA('All papers'!$H$5:$H$229)=0,0,B32/COUNTA('All papers'!$H$5:$H$229))</f>
        <v>0.0266666666666667</v>
      </c>
    </row>
    <row r="33" customFormat="false" ht="15" hidden="false" customHeight="false" outlineLevel="0" collapsed="false">
      <c r="A33" s="39" t="s">
        <v>2779</v>
      </c>
      <c r="B33" s="39" t="n">
        <f aca="false">COUNTIF('All papers'!$J$5:$J$229,"*Lacuna*")</f>
        <v>3</v>
      </c>
      <c r="C33" s="42" t="n">
        <f aca="false">IF(COUNTA('All papers'!$H$5:$H$229)=0,0,B33/COUNTA('All papers'!$H$5:$H$229))</f>
        <v>0.0133333333333333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8"/>
  </cols>
  <sheetData>
    <row r="1" customFormat="false" ht="15" hidden="false" customHeight="false" outlineLevel="0" collapsed="false">
      <c r="A1" s="13" t="s">
        <v>2780</v>
      </c>
    </row>
    <row r="2" customFormat="false" ht="15" hidden="false" customHeight="false" outlineLevel="0" collapsed="false">
      <c r="A2" s="14" t="s">
        <v>2781</v>
      </c>
    </row>
    <row r="4" customFormat="false" ht="15" hidden="false" customHeight="false" outlineLevel="0" collapsed="false">
      <c r="A4" s="40" t="s">
        <v>2754</v>
      </c>
      <c r="B4" s="40" t="s">
        <v>2755</v>
      </c>
      <c r="C4" s="40" t="s">
        <v>2756</v>
      </c>
    </row>
    <row r="5" customFormat="false" ht="15" hidden="false" customHeight="false" outlineLevel="0" collapsed="false">
      <c r="A5" s="39" t="s">
        <v>2782</v>
      </c>
      <c r="B5" s="39" t="n">
        <f aca="false">COUNTIF('All papers'!$K$5:$K$229,"*ArcFace*")</f>
        <v>46</v>
      </c>
      <c r="C5" s="42" t="n">
        <f aca="false">IF(COUNTA('All papers'!$H$5:$H$229)=0,0,B5/COUNTA('All papers'!$H$5:$H$229))</f>
        <v>0.204444444444444</v>
      </c>
    </row>
    <row r="6" customFormat="false" ht="15" hidden="false" customHeight="false" outlineLevel="0" collapsed="false">
      <c r="A6" s="39" t="s">
        <v>1485</v>
      </c>
      <c r="B6" s="39" t="n">
        <f aca="false">COUNTIF('All papers'!$K$5:$K$229,"*FaceNet*")</f>
        <v>28</v>
      </c>
      <c r="C6" s="42" t="n">
        <f aca="false">IF(COUNTA('All papers'!$H$5:$H$229)=0,0,B6/COUNTA('All papers'!$H$5:$H$229))</f>
        <v>0.124444444444444</v>
      </c>
    </row>
    <row r="7" customFormat="false" ht="15" hidden="false" customHeight="false" outlineLevel="0" collapsed="false">
      <c r="A7" s="39" t="s">
        <v>2783</v>
      </c>
      <c r="B7" s="39" t="n">
        <f aca="false">COUNTIF('All papers'!$K$5:$K$229,"*CosFace*")</f>
        <v>7</v>
      </c>
      <c r="C7" s="42" t="n">
        <f aca="false">IF(COUNTA('All papers'!$H$5:$H$229)=0,0,B7/COUNTA('All papers'!$H$5:$H$229))</f>
        <v>0.0311111111111111</v>
      </c>
    </row>
    <row r="8" customFormat="false" ht="15" hidden="false" customHeight="false" outlineLevel="0" collapsed="false">
      <c r="A8" s="39" t="s">
        <v>2784</v>
      </c>
      <c r="B8" s="39" t="n">
        <f aca="false">COUNTIF('All papers'!$K$5:$K$229,"*SphereFace*")</f>
        <v>3</v>
      </c>
      <c r="C8" s="42" t="n">
        <f aca="false">IF(COUNTA('All papers'!$H$5:$H$229)=0,0,B8/COUNTA('All papers'!$H$5:$H$229))</f>
        <v>0.0133333333333333</v>
      </c>
    </row>
    <row r="9" customFormat="false" ht="15" hidden="false" customHeight="false" outlineLevel="0" collapsed="false">
      <c r="A9" s="39" t="s">
        <v>2785</v>
      </c>
      <c r="B9" s="39" t="n">
        <f aca="false">COUNTIF('All papers'!$K$5:$K$229,"*MobileFace*")</f>
        <v>8</v>
      </c>
      <c r="C9" s="42" t="n">
        <f aca="false">IF(COUNTA('All papers'!$H$5:$H$229)=0,0,B9/COUNTA('All papers'!$H$5:$H$229))</f>
        <v>0.0355555555555556</v>
      </c>
    </row>
    <row r="10" customFormat="false" ht="15" hidden="false" customHeight="false" outlineLevel="0" collapsed="false">
      <c r="A10" s="39" t="s">
        <v>2786</v>
      </c>
      <c r="B10" s="39" t="n">
        <f aca="false">COUNTIF('All papers'!$K$5:$K$229,"*IR152*")</f>
        <v>6</v>
      </c>
      <c r="C10" s="42" t="n">
        <f aca="false">IF(COUNTA('All papers'!$H$5:$H$229)=0,0,B10/COUNTA('All papers'!$H$5:$H$229))</f>
        <v>0.0266666666666667</v>
      </c>
    </row>
    <row r="11" customFormat="false" ht="15" hidden="false" customHeight="false" outlineLevel="0" collapsed="false">
      <c r="A11" s="39" t="s">
        <v>2787</v>
      </c>
      <c r="B11" s="39" t="n">
        <f aca="false">COUNTIF('All papers'!$K$5:$K$229,"*IRSE50*")</f>
        <v>6</v>
      </c>
      <c r="C11" s="42" t="n">
        <f aca="false">IF(COUNTA('All papers'!$H$5:$H$229)=0,0,B11/COUNTA('All papers'!$H$5:$H$229))</f>
        <v>0.0266666666666667</v>
      </c>
    </row>
    <row r="12" customFormat="false" ht="15" hidden="false" customHeight="false" outlineLevel="0" collapsed="false">
      <c r="A12" s="39" t="s">
        <v>2788</v>
      </c>
      <c r="B12" s="39" t="n">
        <f aca="false">COUNTIF('All papers'!$K$5:$K$229,"*VGG-Face*")</f>
        <v>10</v>
      </c>
      <c r="C12" s="42" t="n">
        <f aca="false">IF(COUNTA('All papers'!$H$5:$H$229)=0,0,B12/COUNTA('All papers'!$H$5:$H$229))</f>
        <v>0.0444444444444444</v>
      </c>
    </row>
    <row r="13" customFormat="false" ht="15" hidden="false" customHeight="false" outlineLevel="0" collapsed="false">
      <c r="A13" s="39" t="s">
        <v>2789</v>
      </c>
      <c r="B13" s="39" t="n">
        <f aca="false">COUNTIF('All papers'!$K$5:$K$229,"*AdaFace*")</f>
        <v>3</v>
      </c>
      <c r="C13" s="42" t="n">
        <f aca="false">IF(COUNTA('All papers'!$H$5:$H$229)=0,0,B13/COUNTA('All papers'!$H$5:$H$229))</f>
        <v>0.0133333333333333</v>
      </c>
    </row>
    <row r="14" customFormat="false" ht="15" hidden="false" customHeight="false" outlineLevel="0" collapsed="false">
      <c r="A14" s="39" t="s">
        <v>2790</v>
      </c>
      <c r="B14" s="39" t="n">
        <f aca="false">COUNTIF('All papers'!$K$5:$K$229,"*MagFace*")</f>
        <v>2</v>
      </c>
      <c r="C14" s="42" t="n">
        <f aca="false">IF(COUNTA('All papers'!$H$5:$H$229)=0,0,B14/COUNTA('All papers'!$H$5:$H$229))</f>
        <v>0.00888888888888889</v>
      </c>
    </row>
    <row r="15" customFormat="false" ht="15" hidden="false" customHeight="false" outlineLevel="0" collapsed="false">
      <c r="A15" s="39" t="s">
        <v>2791</v>
      </c>
      <c r="B15" s="39" t="n">
        <f aca="false">COUNTIF('All papers'!$K$5:$K$229,"*ElasticFace*")</f>
        <v>2</v>
      </c>
      <c r="C15" s="42" t="n">
        <f aca="false">IF(COUNTA('All papers'!$H$5:$H$229)=0,0,B15/COUNTA('All papers'!$H$5:$H$229))</f>
        <v>0.00888888888888889</v>
      </c>
    </row>
    <row r="16" customFormat="false" ht="15" hidden="false" customHeight="false" outlineLevel="0" collapsed="false">
      <c r="A16" s="39" t="s">
        <v>2792</v>
      </c>
      <c r="B16" s="39" t="n">
        <f aca="false">COUNTIF('All papers'!$K$5:$K$229,"*ResNet*")</f>
        <v>37</v>
      </c>
      <c r="C16" s="42" t="n">
        <f aca="false">IF(COUNTA('All papers'!$H$5:$H$229)=0,0,B16/COUNTA('All papers'!$H$5:$H$229))</f>
        <v>0.164444444444444</v>
      </c>
    </row>
    <row r="17" customFormat="false" ht="15" hidden="false" customHeight="false" outlineLevel="0" collapsed="false">
      <c r="A17" s="39" t="s">
        <v>2793</v>
      </c>
      <c r="B17" s="39" t="n">
        <f aca="false">COUNTIF('All papers'!$K$5:$K$229,"*ViT*")</f>
        <v>4</v>
      </c>
      <c r="C17" s="42" t="n">
        <f aca="false">IF(COUNTA('All papers'!$H$5:$H$229)=0,0,B17/COUNTA('All papers'!$H$5:$H$229))</f>
        <v>0.0177777777777778</v>
      </c>
    </row>
    <row r="18" customFormat="false" ht="15" hidden="false" customHeight="false" outlineLevel="0" collapsed="false">
      <c r="A18" s="39" t="s">
        <v>2794</v>
      </c>
      <c r="B18" s="39" t="n">
        <f aca="false">COUNTIF('All papers'!$K$5:$K$229,"*StyleGAN*")</f>
        <v>9</v>
      </c>
      <c r="C18" s="42" t="n">
        <f aca="false">IF(COUNTA('All papers'!$H$5:$H$229)=0,0,B18/COUNTA('All papers'!$H$5:$H$229))</f>
        <v>0.04</v>
      </c>
    </row>
    <row r="19" customFormat="false" ht="15" hidden="false" customHeight="false" outlineLevel="0" collapsed="false">
      <c r="A19" s="39" t="s">
        <v>459</v>
      </c>
      <c r="B19" s="39" t="n">
        <f aca="false">COUNTIF('All papers'!$K$5:$K$229,"*Stable Diffusion*")</f>
        <v>21</v>
      </c>
      <c r="C19" s="42" t="n">
        <f aca="false">IF(COUNTA('All papers'!$H$5:$H$229)=0,0,B19/COUNTA('All papers'!$H$5:$H$229))</f>
        <v>0.0933333333333333</v>
      </c>
    </row>
    <row r="20" customFormat="false" ht="15" hidden="false" customHeight="false" outlineLevel="0" collapsed="false">
      <c r="A20" s="39" t="s">
        <v>2795</v>
      </c>
      <c r="B20" s="39" t="n">
        <f aca="false">COUNTIF('All papers'!$K$5:$K$229,"*DreamBooth*")</f>
        <v>7</v>
      </c>
      <c r="C20" s="42" t="n">
        <f aca="false">IF(COUNTA('All papers'!$H$5:$H$229)=0,0,B20/COUNTA('All papers'!$H$5:$H$229))</f>
        <v>0.0311111111111111</v>
      </c>
    </row>
    <row r="21" customFormat="false" ht="15" hidden="false" customHeight="false" outlineLevel="0" collapsed="false">
      <c r="A21" s="39" t="s">
        <v>2796</v>
      </c>
      <c r="B21" s="39" t="n">
        <f aca="false">COUNTIF('All papers'!$K$5:$K$229,"*Diffusion*")</f>
        <v>33</v>
      </c>
      <c r="C21" s="42" t="n">
        <f aca="false">IF(COUNTA('All papers'!$H$5:$H$229)=0,0,B21/COUNTA('All papers'!$H$5:$H$229))</f>
        <v>0.146666666666667</v>
      </c>
    </row>
    <row r="22" customFormat="false" ht="15" hidden="false" customHeight="false" outlineLevel="0" collapsed="false">
      <c r="A22" s="39" t="s">
        <v>2083</v>
      </c>
      <c r="B22" s="39" t="n">
        <f aca="false">COUNTIF('All papers'!$K$5:$K$229,"*GAN*")</f>
        <v>26</v>
      </c>
      <c r="C22" s="42" t="n">
        <f aca="false">IF(COUNTA('All papers'!$H$5:$H$229)=0,0,B22/COUNTA('All papers'!$H$5:$H$229))</f>
        <v>0.115555555555556</v>
      </c>
    </row>
    <row r="23" customFormat="false" ht="15" hidden="false" customHeight="false" outlineLevel="0" collapsed="false">
      <c r="A23" s="39" t="s">
        <v>2797</v>
      </c>
      <c r="B23" s="39" t="n">
        <f aca="false">COUNTIF('All papers'!$K$5:$K$229,"*Eigenface*")</f>
        <v>4</v>
      </c>
      <c r="C23" s="42" t="n">
        <f aca="false">IF(COUNTA('All papers'!$H$5:$H$229)=0,0,B23/COUNTA('All papers'!$H$5:$H$229))</f>
        <v>0.0177777777777778</v>
      </c>
    </row>
    <row r="24" customFormat="false" ht="15" hidden="false" customHeight="false" outlineLevel="0" collapsed="false">
      <c r="A24" s="39" t="s">
        <v>2798</v>
      </c>
      <c r="B24" s="39" t="n">
        <f aca="false">COUNTIF('All papers'!$K$5:$K$229,"*Face++*")</f>
        <v>5</v>
      </c>
      <c r="C24" s="42" t="n">
        <f aca="false">IF(COUNTA('All papers'!$H$5:$H$229)=0,0,B24/COUNTA('All papers'!$H$5:$H$229))</f>
        <v>0.0222222222222222</v>
      </c>
    </row>
    <row r="25" customFormat="false" ht="15" hidden="false" customHeight="false" outlineLevel="0" collapsed="false">
      <c r="A25" s="39" t="s">
        <v>2799</v>
      </c>
      <c r="B25" s="39" t="n">
        <f aca="false">COUNTIF('All papers'!$K$5:$K$229,"*Azure*")</f>
        <v>3</v>
      </c>
      <c r="C25" s="42" t="n">
        <f aca="false">IF(COUNTA('All papers'!$H$5:$H$229)=0,0,B25/COUNTA('All papers'!$H$5:$H$229))</f>
        <v>0.0133333333333333</v>
      </c>
    </row>
    <row r="26" customFormat="false" ht="15" hidden="false" customHeight="false" outlineLevel="0" collapsed="false">
      <c r="A26" s="39" t="s">
        <v>2800</v>
      </c>
      <c r="B26" s="39" t="n">
        <f aca="false">COUNTIF('All papers'!$K$5:$K$229,"*Rekognition*")</f>
        <v>3</v>
      </c>
      <c r="C26" s="42" t="n">
        <f aca="false">IF(COUNTA('All papers'!$H$5:$H$229)=0,0,B26/COUNTA('All papers'!$H$5:$H$229))</f>
        <v>0.0133333333333333</v>
      </c>
    </row>
    <row r="27" customFormat="false" ht="15" hidden="false" customHeight="false" outlineLevel="0" collapsed="false">
      <c r="A27" s="39" t="s">
        <v>2801</v>
      </c>
      <c r="B27" s="39" t="n">
        <f aca="false">COUNTIF('All papers'!$K$5:$K$229,"*Aliyun*")</f>
        <v>1</v>
      </c>
      <c r="C27" s="42" t="n">
        <f aca="false">IF(COUNTA('All papers'!$H$5:$H$229)=0,0,B27/COUNTA('All papers'!$H$5:$H$229))</f>
        <v>0.00444444444444444</v>
      </c>
    </row>
    <row r="28" customFormat="false" ht="15" hidden="false" customHeight="false" outlineLevel="0" collapsed="false">
      <c r="A28" s="39" t="s">
        <v>2802</v>
      </c>
      <c r="B28" s="39" t="n">
        <f aca="false">COUNTIF('All papers'!$K$5:$K$229,"*CLIP*")</f>
        <v>4</v>
      </c>
      <c r="C28" s="42" t="n">
        <f aca="false">IF(COUNTA('All papers'!$H$5:$H$229)=0,0,B28/COUNTA('All papers'!$H$5:$H$229))</f>
        <v>0.0177777777777778</v>
      </c>
    </row>
    <row r="29" customFormat="false" ht="15" hidden="false" customHeight="false" outlineLevel="0" collapsed="false">
      <c r="A29" s="39" t="s">
        <v>2803</v>
      </c>
      <c r="B29" s="39" t="n">
        <f aca="false">COUNTIF('All papers'!$K$5:$K$229,"*homomorphic*")</f>
        <v>2</v>
      </c>
      <c r="C29" s="42" t="n">
        <f aca="false">IF(COUNTA('All papers'!$H$5:$H$229)=0,0,B29/COUNTA('All papers'!$H$5:$H$229))</f>
        <v>0.00888888888888889</v>
      </c>
    </row>
    <row r="30" customFormat="false" ht="15" hidden="false" customHeight="false" outlineLevel="0" collapsed="false">
      <c r="A30" s="39" t="s">
        <v>2804</v>
      </c>
      <c r="B30" s="39" t="n">
        <f aca="false">COUNTIF('All papers'!$K$5:$K$229,"*FHE*")</f>
        <v>2</v>
      </c>
      <c r="C30" s="42" t="n">
        <f aca="false">IF(COUNTA('All papers'!$H$5:$H$229)=0,0,B30/COUNTA('All papers'!$H$5:$H$229))</f>
        <v>0.00888888888888889</v>
      </c>
    </row>
    <row r="31" customFormat="false" ht="15" hidden="false" customHeight="false" outlineLevel="0" collapsed="false">
      <c r="A31" s="39" t="s">
        <v>2805</v>
      </c>
      <c r="B31" s="39" t="n">
        <f aca="false">COUNTIF('All papers'!$K$5:$K$229,"*Paillier*")</f>
        <v>1</v>
      </c>
      <c r="C31" s="42" t="n">
        <f aca="false">IF(COUNTA('All papers'!$H$5:$H$229)=0,0,B31/COUNTA('All papers'!$H$5:$H$229))</f>
        <v>0.00444444444444444</v>
      </c>
    </row>
    <row r="32" customFormat="false" ht="15" hidden="false" customHeight="false" outlineLevel="0" collapsed="false">
      <c r="A32" s="39" t="s">
        <v>2806</v>
      </c>
      <c r="B32" s="39" t="n">
        <f aca="false">COUNTIF('All papers'!$K$5:$K$229,"*Viola-Jones*")</f>
        <v>1</v>
      </c>
      <c r="C32" s="42" t="n">
        <f aca="false">IF(COUNTA('All papers'!$H$5:$H$229)=0,0,B32/COUNTA('All papers'!$H$5:$H$229))</f>
        <v>0.00444444444444444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2026-10-01T05:10:15Z</dcterms:created>
  <dc:creator>openpyxl</dc:creator>
  <dc:description/>
  <dc:language>en-IN</dc:language>
  <cp:lastModifiedBy/>
  <dcterms:modified xsi:type="dcterms:W3CDTF">2026-10-01T05:10:16Z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